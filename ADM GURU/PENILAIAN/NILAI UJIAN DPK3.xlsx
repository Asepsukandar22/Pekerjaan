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eps\Downloads\"/>
    </mc:Choice>
  </mc:AlternateContent>
  <bookViews>
    <workbookView xWindow="0" yWindow="0" windowWidth="20490" windowHeight="7740" firstSheet="1" activeTab="4"/>
  </bookViews>
  <sheets>
    <sheet name="PTS" sheetId="1" state="hidden" r:id="rId1"/>
    <sheet name="PTSRPL" sheetId="6" r:id="rId2"/>
    <sheet name="PTSACP" sheetId="5" r:id="rId3"/>
    <sheet name="PSAT" sheetId="2" r:id="rId4"/>
    <sheet name="PSATACP" sheetId="3" r:id="rId5"/>
    <sheet name="PSATRPL" sheetId="4" r:id="rId6"/>
  </sheets>
  <definedNames>
    <definedName name="_xlnm._FilterDatabase" localSheetId="3" hidden="1">PSAT!$A$1:$F$44</definedName>
  </definedNames>
  <calcPr calcId="152511"/>
</workbook>
</file>

<file path=xl/calcChain.xml><?xml version="1.0" encoding="utf-8"?>
<calcChain xmlns="http://schemas.openxmlformats.org/spreadsheetml/2006/main">
  <c r="F3" i="2" l="1"/>
  <c r="E2" i="2"/>
  <c r="D2" i="2"/>
  <c r="F2" i="2" l="1"/>
  <c r="D33" i="1" l="1"/>
  <c r="E33" i="1" s="1"/>
  <c r="D30" i="1"/>
  <c r="E30" i="1" s="1"/>
  <c r="D29" i="1"/>
  <c r="E29" i="1" s="1"/>
  <c r="D43" i="1"/>
  <c r="E43" i="1" s="1"/>
  <c r="D16" i="1"/>
  <c r="E16" i="1" s="1"/>
  <c r="D35" i="1"/>
  <c r="E35" i="1" s="1"/>
  <c r="D14" i="1"/>
  <c r="E14" i="1" s="1"/>
  <c r="D7" i="1"/>
  <c r="E7" i="1" s="1"/>
  <c r="D21" i="1"/>
  <c r="E21" i="1" s="1"/>
  <c r="D18" i="1"/>
  <c r="E18" i="1" s="1"/>
  <c r="D42" i="1"/>
  <c r="E42" i="1" s="1"/>
  <c r="D5" i="1"/>
  <c r="E5" i="1" s="1"/>
  <c r="D45" i="1"/>
  <c r="E45" i="1" s="1"/>
  <c r="D24" i="1"/>
  <c r="E24" i="1" s="1"/>
  <c r="D31" i="1"/>
  <c r="E31" i="1" s="1"/>
  <c r="D25" i="1"/>
  <c r="E25" i="1" s="1"/>
  <c r="D39" i="1"/>
  <c r="E39" i="1" s="1"/>
  <c r="D9" i="1"/>
  <c r="E9" i="1" s="1"/>
  <c r="D10" i="1"/>
  <c r="E10" i="1" s="1"/>
  <c r="D8" i="1"/>
  <c r="E8" i="1" s="1"/>
  <c r="D19" i="1"/>
  <c r="E19" i="1" s="1"/>
  <c r="D4" i="1"/>
  <c r="E4" i="1" s="1"/>
  <c r="D22" i="1"/>
  <c r="E22" i="1" s="1"/>
  <c r="D3" i="1"/>
  <c r="E3" i="1" s="1"/>
  <c r="D12" i="1"/>
  <c r="E12" i="1" s="1"/>
  <c r="D17" i="1"/>
  <c r="E17" i="1" s="1"/>
  <c r="D20" i="1"/>
  <c r="E20" i="1" s="1"/>
  <c r="D34" i="1"/>
  <c r="E34" i="1" s="1"/>
  <c r="D6" i="1"/>
  <c r="E6" i="1" s="1"/>
  <c r="D32" i="1"/>
  <c r="E32" i="1" s="1"/>
  <c r="D23" i="1"/>
  <c r="E23" i="1" s="1"/>
  <c r="D15" i="1"/>
  <c r="E15" i="1" s="1"/>
  <c r="D26" i="1"/>
  <c r="E26" i="1" s="1"/>
  <c r="D11" i="1"/>
  <c r="E11" i="1" s="1"/>
  <c r="D38" i="1"/>
  <c r="E38" i="1" s="1"/>
  <c r="D13" i="1"/>
  <c r="E13" i="1" s="1"/>
  <c r="D28" i="1"/>
  <c r="E28" i="1" s="1"/>
  <c r="D27" i="1"/>
  <c r="E27" i="1" s="1"/>
  <c r="D40" i="1"/>
  <c r="E40" i="1" s="1"/>
  <c r="D36" i="1"/>
  <c r="E36" i="1" s="1"/>
  <c r="D41" i="1"/>
  <c r="E41" i="1" s="1"/>
  <c r="D37" i="1"/>
  <c r="E37" i="1" s="1"/>
  <c r="D44" i="1"/>
  <c r="E44" i="1" s="1"/>
  <c r="D39" i="2"/>
  <c r="E39" i="2" s="1"/>
  <c r="F39" i="2" s="1"/>
  <c r="D38" i="2"/>
  <c r="E38" i="2" s="1"/>
  <c r="F38" i="2" s="1"/>
  <c r="D37" i="2"/>
  <c r="E37" i="2" s="1"/>
  <c r="F37" i="2" s="1"/>
  <c r="D36" i="2"/>
  <c r="E36" i="2" s="1"/>
  <c r="F36" i="2" s="1"/>
  <c r="D35" i="2"/>
  <c r="E35" i="2" s="1"/>
  <c r="F35" i="2" s="1"/>
  <c r="D34" i="2"/>
  <c r="E34" i="2" s="1"/>
  <c r="F34" i="2" s="1"/>
  <c r="D33" i="2"/>
  <c r="E33" i="2" s="1"/>
  <c r="F33" i="2" s="1"/>
  <c r="D32" i="2"/>
  <c r="E32" i="2" s="1"/>
  <c r="F32" i="2" s="1"/>
  <c r="D31" i="2"/>
  <c r="E31" i="2" s="1"/>
  <c r="F31" i="2" s="1"/>
  <c r="D30" i="2"/>
  <c r="E30" i="2" s="1"/>
  <c r="F30" i="2" s="1"/>
  <c r="D29" i="2"/>
  <c r="E29" i="2" s="1"/>
  <c r="F29" i="2" s="1"/>
  <c r="D28" i="2"/>
  <c r="E28" i="2" s="1"/>
  <c r="F28" i="2" s="1"/>
  <c r="D27" i="2"/>
  <c r="E27" i="2" s="1"/>
  <c r="F27" i="2" s="1"/>
  <c r="D26" i="2"/>
  <c r="E26" i="2" s="1"/>
  <c r="F26" i="2" s="1"/>
  <c r="D25" i="2"/>
  <c r="E25" i="2" s="1"/>
  <c r="F25" i="2" s="1"/>
  <c r="D24" i="2"/>
  <c r="E24" i="2" s="1"/>
  <c r="F24" i="2" s="1"/>
  <c r="D23" i="2"/>
  <c r="E23" i="2" s="1"/>
  <c r="F23" i="2" s="1"/>
  <c r="D22" i="2"/>
  <c r="E22" i="2" s="1"/>
  <c r="F22" i="2" s="1"/>
  <c r="D21" i="2"/>
  <c r="E21" i="2" s="1"/>
  <c r="F21" i="2" s="1"/>
  <c r="D20" i="2"/>
  <c r="E20" i="2" s="1"/>
  <c r="F20" i="2" s="1"/>
  <c r="D19" i="2"/>
  <c r="E19" i="2" s="1"/>
  <c r="F19" i="2" s="1"/>
  <c r="D18" i="2"/>
  <c r="E18" i="2" s="1"/>
  <c r="F18" i="2" s="1"/>
  <c r="D17" i="2"/>
  <c r="E17" i="2" s="1"/>
  <c r="F17" i="2" s="1"/>
  <c r="D16" i="2"/>
  <c r="E16" i="2" s="1"/>
  <c r="F16" i="2" s="1"/>
  <c r="D15" i="2"/>
  <c r="E15" i="2" s="1"/>
  <c r="F15" i="2" s="1"/>
  <c r="D14" i="2"/>
  <c r="E14" i="2" s="1"/>
  <c r="F14" i="2" s="1"/>
  <c r="D13" i="2"/>
  <c r="E13" i="2" s="1"/>
  <c r="F13" i="2" s="1"/>
  <c r="D12" i="2"/>
  <c r="E12" i="2" s="1"/>
  <c r="F12" i="2" s="1"/>
  <c r="D11" i="2"/>
  <c r="E11" i="2" s="1"/>
  <c r="F11" i="2" s="1"/>
  <c r="D10" i="2"/>
  <c r="E10" i="2" s="1"/>
  <c r="F10" i="2" s="1"/>
  <c r="D9" i="2"/>
  <c r="E9" i="2" s="1"/>
  <c r="F9" i="2" s="1"/>
  <c r="D8" i="2"/>
  <c r="E8" i="2" s="1"/>
  <c r="F8" i="2" s="1"/>
  <c r="D7" i="2"/>
  <c r="E7" i="2" s="1"/>
  <c r="F7" i="2" s="1"/>
  <c r="D6" i="2"/>
  <c r="E6" i="2" s="1"/>
  <c r="F6" i="2" s="1"/>
  <c r="D5" i="2"/>
  <c r="E5" i="2" s="1"/>
  <c r="F5" i="2" s="1"/>
  <c r="D4" i="2"/>
  <c r="E4" i="2" s="1"/>
  <c r="F4" i="2" s="1"/>
  <c r="D3" i="2"/>
  <c r="E3" i="2" s="1"/>
  <c r="D40" i="2"/>
  <c r="E40" i="2" s="1"/>
  <c r="F40" i="2" s="1"/>
  <c r="D41" i="2"/>
  <c r="E41" i="2" s="1"/>
  <c r="F41" i="2" s="1"/>
  <c r="D42" i="2"/>
  <c r="E42" i="2" s="1"/>
  <c r="F42" i="2" s="1"/>
  <c r="D43" i="2"/>
  <c r="E43" i="2" s="1"/>
  <c r="F43" i="2" s="1"/>
  <c r="D44" i="2"/>
  <c r="E44" i="2" s="1"/>
  <c r="F44" i="2" s="1"/>
  <c r="F32" i="1" l="1"/>
  <c r="F24" i="1"/>
  <c r="F37" i="1"/>
  <c r="F17" i="1"/>
  <c r="F18" i="1"/>
  <c r="F27" i="1"/>
  <c r="F4" i="1"/>
  <c r="F35" i="1"/>
  <c r="F11" i="1"/>
  <c r="F9" i="1"/>
  <c r="F30" i="1"/>
  <c r="F41" i="1"/>
  <c r="F28" i="1"/>
  <c r="F26" i="1"/>
  <c r="F6" i="1"/>
  <c r="F12" i="1"/>
  <c r="F19" i="1"/>
  <c r="F39" i="1"/>
  <c r="F45" i="1"/>
  <c r="F21" i="1"/>
  <c r="F16" i="1"/>
  <c r="F33" i="1"/>
  <c r="F36" i="1"/>
  <c r="F13" i="1"/>
  <c r="F15" i="1"/>
  <c r="F34" i="1"/>
  <c r="F3" i="1"/>
  <c r="F8" i="1"/>
  <c r="F25" i="1"/>
  <c r="F5" i="1"/>
  <c r="F7" i="1"/>
  <c r="F43" i="1"/>
  <c r="F44" i="1"/>
  <c r="F40" i="1"/>
  <c r="F38" i="1"/>
  <c r="F23" i="1"/>
  <c r="F20" i="1"/>
  <c r="F22" i="1"/>
  <c r="F10" i="1"/>
  <c r="F31" i="1"/>
  <c r="F42" i="1"/>
  <c r="F14" i="1"/>
  <c r="F29" i="1"/>
</calcChain>
</file>

<file path=xl/sharedStrings.xml><?xml version="1.0" encoding="utf-8"?>
<sst xmlns="http://schemas.openxmlformats.org/spreadsheetml/2006/main" count="472" uniqueCount="130">
  <si>
    <t>Score</t>
  </si>
  <si>
    <t>NAMA</t>
  </si>
  <si>
    <t>KELAS</t>
  </si>
  <si>
    <t xml:space="preserve">Widya Ida Matussilmi </t>
  </si>
  <si>
    <t>X RPL</t>
  </si>
  <si>
    <t>Rangga Pratama</t>
  </si>
  <si>
    <t>Novi Nopiani</t>
  </si>
  <si>
    <t>NOVA NOPIANA</t>
  </si>
  <si>
    <t>Vika noprita ayudia rani</t>
  </si>
  <si>
    <t>Haikal budiansyah</t>
  </si>
  <si>
    <t>Regina Apriliya</t>
  </si>
  <si>
    <t>X ACP</t>
  </si>
  <si>
    <t>Faris alba</t>
  </si>
  <si>
    <t xml:space="preserve">Davin Arya putra </t>
  </si>
  <si>
    <t>Khansa Azriza</t>
  </si>
  <si>
    <t xml:space="preserve">Indriyani fitriya sari </t>
  </si>
  <si>
    <t>Umar</t>
  </si>
  <si>
    <t>Ali Satriya bayu</t>
  </si>
  <si>
    <t>zalza bylla oktafeviyana</t>
  </si>
  <si>
    <t>M.Rustandi</t>
  </si>
  <si>
    <t xml:space="preserve">Nur azizah </t>
  </si>
  <si>
    <t>MARISA</t>
  </si>
  <si>
    <t>Salmaa Fauziyah</t>
  </si>
  <si>
    <t xml:space="preserve">Evandra </t>
  </si>
  <si>
    <t>ezar raditya Gunawan</t>
  </si>
  <si>
    <t>Devana Apriliano Alamsyah</t>
  </si>
  <si>
    <t>JANPETER SEBASTIAN P</t>
  </si>
  <si>
    <t xml:space="preserve">Akbar Maulana </t>
  </si>
  <si>
    <t>Khayyira hanifa az-zahra</t>
  </si>
  <si>
    <t>Abdul Epan</t>
  </si>
  <si>
    <t>Fahmi abdulrahman</t>
  </si>
  <si>
    <t>INDRI ANGGRAENI</t>
  </si>
  <si>
    <t>KAYLA VEBRIYANA</t>
  </si>
  <si>
    <t>Raya najmi</t>
  </si>
  <si>
    <t xml:space="preserve">Alvin frasetia </t>
  </si>
  <si>
    <t>Nurfadhilah</t>
  </si>
  <si>
    <t>M.paisal</t>
  </si>
  <si>
    <t>Gia Ananda Safitri</t>
  </si>
  <si>
    <t xml:space="preserve">Muhamad Lugi Alparizi </t>
  </si>
  <si>
    <t xml:space="preserve">Fadil Abdul Aziz </t>
  </si>
  <si>
    <t xml:space="preserve">RIVQI WILIAWAN </t>
  </si>
  <si>
    <t xml:space="preserve">FAJAR MAULANA NUGRAHA </t>
  </si>
  <si>
    <t>NISEU BIL HASNA</t>
  </si>
  <si>
    <t>Muhammad bilal al habsy</t>
  </si>
  <si>
    <t>Sri Resti</t>
  </si>
  <si>
    <t>Reinhart Imanuel Aritonang</t>
  </si>
  <si>
    <t>tria kartika anugrah</t>
  </si>
  <si>
    <t xml:space="preserve">Rina apriliani </t>
  </si>
  <si>
    <t>m.paisal</t>
  </si>
  <si>
    <t>Janpeter Sebastian Pandiangan</t>
  </si>
  <si>
    <t xml:space="preserve">Akbar maulana </t>
  </si>
  <si>
    <t>gia ananda safitri</t>
  </si>
  <si>
    <t>salmaa fauziyah</t>
  </si>
  <si>
    <t xml:space="preserve">davin Arya putra </t>
  </si>
  <si>
    <t>ezar raditya gunawan</t>
  </si>
  <si>
    <t xml:space="preserve">MUHAMMAD BILAL ALHABSY </t>
  </si>
  <si>
    <t>Tria Kartika anugrah</t>
  </si>
  <si>
    <t>Sri Resti R</t>
  </si>
  <si>
    <t xml:space="preserve">evandra </t>
  </si>
  <si>
    <t xml:space="preserve">Ali Satriya Bayu </t>
  </si>
  <si>
    <t xml:space="preserve">Rina Apriliani </t>
  </si>
  <si>
    <t>Sri Rahayu</t>
  </si>
  <si>
    <t>Alvin frasetia</t>
  </si>
  <si>
    <t>FAJAR MAULANA NUGRAHA</t>
  </si>
  <si>
    <t>Raya aulia najmi</t>
  </si>
  <si>
    <t>Raka Candra Fadilah</t>
  </si>
  <si>
    <t>Sub Nilai PG</t>
  </si>
  <si>
    <t>Nilai Akhir</t>
  </si>
  <si>
    <t>NILAI PSAT</t>
  </si>
  <si>
    <t>84</t>
  </si>
  <si>
    <t>79</t>
  </si>
  <si>
    <t>78</t>
  </si>
  <si>
    <t>60</t>
  </si>
  <si>
    <t>83</t>
  </si>
  <si>
    <t xml:space="preserve">AKBAR MAULANA </t>
  </si>
  <si>
    <t>ALVIN FRASETIA</t>
  </si>
  <si>
    <t xml:space="preserve">FADIL ABDUL AZIZ </t>
  </si>
  <si>
    <t>KHANSA AZRIZA</t>
  </si>
  <si>
    <t>RAYA AULIA NAJMI</t>
  </si>
  <si>
    <t>REINHART IMANUEL ARITONANG</t>
  </si>
  <si>
    <t>SRI RAHAYU</t>
  </si>
  <si>
    <t>ZALZA BYLLA OKTAFEVIYANA</t>
  </si>
  <si>
    <t>ABDUL EPAN</t>
  </si>
  <si>
    <t xml:space="preserve">ALI SATRIYA BAYU </t>
  </si>
  <si>
    <t xml:space="preserve">DAVIN ARYA PUTRA </t>
  </si>
  <si>
    <t>DEVANA APRILIANO ALAMSYAH</t>
  </si>
  <si>
    <t xml:space="preserve">EVANDRA </t>
  </si>
  <si>
    <t>EZAR RADITYA GUNAWAN</t>
  </si>
  <si>
    <t>FAHMI ABDULRAHMAN</t>
  </si>
  <si>
    <t>FARIS ALBA</t>
  </si>
  <si>
    <t>GIA ANANDA SAFITRI</t>
  </si>
  <si>
    <t>HAIKAL BUDIANSYAH</t>
  </si>
  <si>
    <t xml:space="preserve">INDRIYANI FITRIYA SARI </t>
  </si>
  <si>
    <t>JANPETER SEBASTIAN PANDIANGAN</t>
  </si>
  <si>
    <t>KHAYYIRA HANIFA AZ-ZAHRA</t>
  </si>
  <si>
    <t>M.PAISAL</t>
  </si>
  <si>
    <t>M.RUSTANDI</t>
  </si>
  <si>
    <t xml:space="preserve">MUHAMAD LUGI ALPARIZI </t>
  </si>
  <si>
    <t>NOVI NOPIANI</t>
  </si>
  <si>
    <t xml:space="preserve">NUR AZIZAH </t>
  </si>
  <si>
    <t>NURFADHILAH</t>
  </si>
  <si>
    <t>RAKA CANDRA FADILAH</t>
  </si>
  <si>
    <t>RANGGA PRATAMA</t>
  </si>
  <si>
    <t xml:space="preserve">RINA APRILIANI </t>
  </si>
  <si>
    <t>SALMAA FAUZIYAH</t>
  </si>
  <si>
    <t>SRI RESTI R</t>
  </si>
  <si>
    <t>TRIA KARTIKA ANUGRAH</t>
  </si>
  <si>
    <t>UMAR</t>
  </si>
  <si>
    <t>VIKA NOPRITA AYUDIA RANI</t>
  </si>
  <si>
    <t xml:space="preserve">WIDYA IDA MATUSSILMI </t>
  </si>
  <si>
    <t>NO</t>
  </si>
  <si>
    <t>SUB NILAI PG</t>
  </si>
  <si>
    <t>NILAI AKHIR</t>
  </si>
  <si>
    <t>NILAI PSAT TP. 2024/2025</t>
  </si>
  <si>
    <t>Column2</t>
  </si>
  <si>
    <t>Column3</t>
  </si>
  <si>
    <t>Column4</t>
  </si>
  <si>
    <t>Column5</t>
  </si>
  <si>
    <t>NILAI</t>
  </si>
  <si>
    <t>Column6</t>
  </si>
  <si>
    <t>Column7</t>
  </si>
  <si>
    <t>NILAI PTS</t>
  </si>
  <si>
    <t xml:space="preserve">ALVIN FRASETIA </t>
  </si>
  <si>
    <t>RAYA NAJMI</t>
  </si>
  <si>
    <t>REGINA APRILIYA</t>
  </si>
  <si>
    <t>ALI SATRIYA BAYU</t>
  </si>
  <si>
    <t>MUHAMMAD BILAL AL HABSY</t>
  </si>
  <si>
    <t>SRI RESTI</t>
  </si>
  <si>
    <t>NILAI PG</t>
  </si>
  <si>
    <t>NILAI PTS TP.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</si>
</sst>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&quot; / 40&quot;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4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2" xfId="0" applyNumberFormat="1" applyFont="1" applyBorder="1" applyAlignment="1">
      <alignment vertical="center"/>
    </xf>
    <xf numFmtId="0" fontId="1" fillId="0" borderId="3" xfId="0" applyNumberFormat="1" applyFont="1" applyBorder="1" applyAlignment="1">
      <alignment vertical="center"/>
    </xf>
    <xf numFmtId="0" fontId="0" fillId="0" borderId="0" xfId="0" applyNumberFormat="1" applyFont="1" applyAlignment="1"/>
    <xf numFmtId="0" fontId="3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6" xfId="0" applyFont="1" applyBorder="1" applyAlignment="1"/>
    <xf numFmtId="0" fontId="0" fillId="0" borderId="6" xfId="0" applyFont="1" applyBorder="1" applyAlignment="1">
      <alignment horizontal="center"/>
    </xf>
    <xf numFmtId="0" fontId="1" fillId="0" borderId="6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4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vertical="center"/>
    </xf>
    <xf numFmtId="0" fontId="5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4" fillId="2" borderId="6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4" fillId="3" borderId="6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2:F45">
  <autoFilter ref="A2:F45">
    <filterColumn colId="2">
      <filters>
        <filter val="X RPL"/>
      </filters>
    </filterColumn>
  </autoFilter>
  <sortState ref="A3:F46">
    <sortCondition ref="B3:B46"/>
  </sortState>
  <tableColumns count="6">
    <tableColumn id="2" name="Column2" dataDxfId="4"/>
    <tableColumn id="3" name="Column3"/>
    <tableColumn id="4" name="Column4"/>
    <tableColumn id="1" name="Column5" dataDxfId="3">
      <calculatedColumnFormula>A3*2.3</calculatedColumnFormula>
    </tableColumn>
    <tableColumn id="5" name="Column6" dataDxfId="2">
      <calculatedColumnFormula>D3+20</calculatedColumnFormula>
    </tableColumn>
    <tableColumn id="6" name="Column7" dataDxfId="1">
      <calculatedColumnFormula>IF(D3&gt;89,"84",IF(D3&gt;79,"83",IF(D3&gt;69,"79",IF(D3&gt;59,"78","60"))))</calculatedColumnFormula>
    </tableColumn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F45"/>
  <sheetViews>
    <sheetView workbookViewId="0">
      <pane ySplit="2" topLeftCell="A26" activePane="bottomLeft" state="frozen"/>
      <selection pane="bottomLeft" activeCell="A3" sqref="A3:A44"/>
    </sheetView>
  </sheetViews>
  <sheetFormatPr defaultColWidth="12.5703125" defaultRowHeight="15.75" customHeight="1" x14ac:dyDescent="0.2"/>
  <cols>
    <col min="1" max="1" width="18.85546875" style="16" customWidth="1"/>
    <col min="2" max="2" width="28.140625" bestFit="1" customWidth="1"/>
    <col min="3" max="3" width="18.85546875" customWidth="1"/>
    <col min="4" max="4" width="10.5703125" bestFit="1" customWidth="1"/>
    <col min="5" max="9" width="18.85546875" customWidth="1"/>
  </cols>
  <sheetData>
    <row r="2" spans="1:6" ht="12.75" x14ac:dyDescent="0.2">
      <c r="A2" s="16" t="s">
        <v>114</v>
      </c>
      <c r="B2" t="s">
        <v>115</v>
      </c>
      <c r="C2" t="s">
        <v>116</v>
      </c>
      <c r="D2" t="s">
        <v>117</v>
      </c>
      <c r="E2" t="s">
        <v>119</v>
      </c>
      <c r="F2" t="s">
        <v>120</v>
      </c>
    </row>
    <row r="3" spans="1:6" ht="12.75" x14ac:dyDescent="0.2">
      <c r="A3" s="28">
        <v>30</v>
      </c>
      <c r="B3" s="13" t="s">
        <v>29</v>
      </c>
      <c r="C3" s="13" t="s">
        <v>4</v>
      </c>
      <c r="D3">
        <f t="shared" ref="D3:D45" si="0">A3*2.3</f>
        <v>69</v>
      </c>
      <c r="E3">
        <f t="shared" ref="E3:E45" si="1">D3+20</f>
        <v>89</v>
      </c>
      <c r="F3" s="16" t="str">
        <f t="shared" ref="F3:F45" si="2">IF(D3&gt;89,"84",IF(D3&gt;79,"83",IF(D3&gt;69,"79",IF(D3&gt;59,"78","60"))))</f>
        <v>78</v>
      </c>
    </row>
    <row r="4" spans="1:6" ht="12.75" hidden="1" x14ac:dyDescent="0.2">
      <c r="A4" s="14">
        <v>13</v>
      </c>
      <c r="B4" s="2" t="s">
        <v>27</v>
      </c>
      <c r="C4" s="2" t="s">
        <v>11</v>
      </c>
      <c r="D4">
        <f t="shared" si="0"/>
        <v>29.9</v>
      </c>
      <c r="E4">
        <f t="shared" si="1"/>
        <v>49.9</v>
      </c>
      <c r="F4" s="16" t="str">
        <f t="shared" si="2"/>
        <v>60</v>
      </c>
    </row>
    <row r="5" spans="1:6" ht="12.75" x14ac:dyDescent="0.2">
      <c r="A5" s="15">
        <v>21</v>
      </c>
      <c r="B5" s="5" t="s">
        <v>17</v>
      </c>
      <c r="C5" s="5" t="s">
        <v>4</v>
      </c>
      <c r="D5">
        <f t="shared" si="0"/>
        <v>48.3</v>
      </c>
      <c r="E5">
        <f t="shared" si="1"/>
        <v>68.3</v>
      </c>
      <c r="F5" s="16" t="str">
        <f t="shared" si="2"/>
        <v>60</v>
      </c>
    </row>
    <row r="6" spans="1:6" ht="12.75" hidden="1" x14ac:dyDescent="0.2">
      <c r="A6" s="14">
        <v>11</v>
      </c>
      <c r="B6" s="7" t="s">
        <v>34</v>
      </c>
      <c r="C6" s="7" t="s">
        <v>11</v>
      </c>
      <c r="D6">
        <f t="shared" si="0"/>
        <v>25.299999999999997</v>
      </c>
      <c r="E6">
        <f t="shared" si="1"/>
        <v>45.3</v>
      </c>
      <c r="F6" s="16" t="str">
        <f t="shared" si="2"/>
        <v>60</v>
      </c>
    </row>
    <row r="7" spans="1:6" ht="12.75" x14ac:dyDescent="0.2">
      <c r="A7" s="15">
        <v>30</v>
      </c>
      <c r="B7" s="5" t="s">
        <v>13</v>
      </c>
      <c r="C7" s="5" t="s">
        <v>4</v>
      </c>
      <c r="D7">
        <f t="shared" si="0"/>
        <v>69</v>
      </c>
      <c r="E7">
        <f t="shared" si="1"/>
        <v>89</v>
      </c>
      <c r="F7" s="16" t="str">
        <f t="shared" si="2"/>
        <v>78</v>
      </c>
    </row>
    <row r="8" spans="1:6" ht="12.75" x14ac:dyDescent="0.2">
      <c r="A8" s="14">
        <v>28</v>
      </c>
      <c r="B8" s="2" t="s">
        <v>25</v>
      </c>
      <c r="C8" s="2" t="s">
        <v>4</v>
      </c>
      <c r="D8">
        <f t="shared" si="0"/>
        <v>64.399999999999991</v>
      </c>
      <c r="E8">
        <f t="shared" si="1"/>
        <v>84.399999999999991</v>
      </c>
      <c r="F8" s="16" t="str">
        <f t="shared" si="2"/>
        <v>78</v>
      </c>
    </row>
    <row r="9" spans="1:6" ht="12.75" x14ac:dyDescent="0.2">
      <c r="A9" s="15">
        <v>27</v>
      </c>
      <c r="B9" s="5" t="s">
        <v>23</v>
      </c>
      <c r="C9" s="5" t="s">
        <v>4</v>
      </c>
      <c r="D9">
        <f t="shared" si="0"/>
        <v>62.099999999999994</v>
      </c>
      <c r="E9">
        <f t="shared" si="1"/>
        <v>82.1</v>
      </c>
      <c r="F9" s="16" t="str">
        <f t="shared" si="2"/>
        <v>78</v>
      </c>
    </row>
    <row r="10" spans="1:6" ht="12.75" x14ac:dyDescent="0.2">
      <c r="A10" s="14">
        <v>27</v>
      </c>
      <c r="B10" s="7" t="s">
        <v>24</v>
      </c>
      <c r="C10" s="7" t="s">
        <v>4</v>
      </c>
      <c r="D10">
        <f t="shared" si="0"/>
        <v>62.099999999999994</v>
      </c>
      <c r="E10">
        <f t="shared" si="1"/>
        <v>82.1</v>
      </c>
      <c r="F10" s="16" t="str">
        <f t="shared" si="2"/>
        <v>78</v>
      </c>
    </row>
    <row r="11" spans="1:6" ht="12.75" hidden="1" x14ac:dyDescent="0.2">
      <c r="A11" s="15">
        <v>18</v>
      </c>
      <c r="B11" s="5" t="s">
        <v>39</v>
      </c>
      <c r="C11" s="5" t="s">
        <v>11</v>
      </c>
      <c r="D11">
        <f t="shared" si="0"/>
        <v>41.4</v>
      </c>
      <c r="E11">
        <f t="shared" si="1"/>
        <v>61.4</v>
      </c>
      <c r="F11" s="16" t="str">
        <f t="shared" si="2"/>
        <v>60</v>
      </c>
    </row>
    <row r="12" spans="1:6" ht="12.75" x14ac:dyDescent="0.2">
      <c r="A12" s="14">
        <v>27</v>
      </c>
      <c r="B12" s="7" t="s">
        <v>30</v>
      </c>
      <c r="C12" s="7" t="s">
        <v>4</v>
      </c>
      <c r="D12">
        <f t="shared" si="0"/>
        <v>62.099999999999994</v>
      </c>
      <c r="E12">
        <f t="shared" si="1"/>
        <v>82.1</v>
      </c>
      <c r="F12" s="16" t="str">
        <f t="shared" si="2"/>
        <v>78</v>
      </c>
    </row>
    <row r="13" spans="1:6" ht="12.75" hidden="1" x14ac:dyDescent="0.2">
      <c r="A13" s="15">
        <v>11</v>
      </c>
      <c r="B13" s="5" t="s">
        <v>41</v>
      </c>
      <c r="C13" s="5" t="s">
        <v>11</v>
      </c>
      <c r="D13">
        <f t="shared" si="0"/>
        <v>25.299999999999997</v>
      </c>
      <c r="E13">
        <f t="shared" si="1"/>
        <v>45.3</v>
      </c>
      <c r="F13" s="16" t="str">
        <f t="shared" si="2"/>
        <v>60</v>
      </c>
    </row>
    <row r="14" spans="1:6" ht="12.75" x14ac:dyDescent="0.2">
      <c r="A14" s="14">
        <v>6</v>
      </c>
      <c r="B14" s="7" t="s">
        <v>12</v>
      </c>
      <c r="C14" s="7" t="s">
        <v>4</v>
      </c>
      <c r="D14">
        <f t="shared" si="0"/>
        <v>13.799999999999999</v>
      </c>
      <c r="E14">
        <f t="shared" si="1"/>
        <v>33.799999999999997</v>
      </c>
      <c r="F14" s="16" t="str">
        <f t="shared" si="2"/>
        <v>60</v>
      </c>
    </row>
    <row r="15" spans="1:6" ht="12.75" x14ac:dyDescent="0.2">
      <c r="A15" s="15">
        <v>29</v>
      </c>
      <c r="B15" s="5" t="s">
        <v>37</v>
      </c>
      <c r="C15" s="5" t="s">
        <v>4</v>
      </c>
      <c r="D15">
        <f t="shared" si="0"/>
        <v>66.699999999999989</v>
      </c>
      <c r="E15">
        <f t="shared" si="1"/>
        <v>86.699999999999989</v>
      </c>
      <c r="F15" s="16" t="str">
        <f t="shared" si="2"/>
        <v>78</v>
      </c>
    </row>
    <row r="16" spans="1:6" ht="12.75" x14ac:dyDescent="0.2">
      <c r="A16" s="14">
        <v>29</v>
      </c>
      <c r="B16" s="7" t="s">
        <v>9</v>
      </c>
      <c r="C16" s="7" t="s">
        <v>4</v>
      </c>
      <c r="D16">
        <f t="shared" si="0"/>
        <v>66.699999999999989</v>
      </c>
      <c r="E16">
        <f t="shared" si="1"/>
        <v>86.699999999999989</v>
      </c>
      <c r="F16" s="16" t="str">
        <f t="shared" si="2"/>
        <v>78</v>
      </c>
    </row>
    <row r="17" spans="1:6" ht="12.75" x14ac:dyDescent="0.2">
      <c r="A17" s="15">
        <v>13</v>
      </c>
      <c r="B17" s="5" t="s">
        <v>31</v>
      </c>
      <c r="C17" s="5" t="s">
        <v>4</v>
      </c>
      <c r="D17">
        <f t="shared" si="0"/>
        <v>29.9</v>
      </c>
      <c r="E17">
        <f t="shared" si="1"/>
        <v>49.9</v>
      </c>
      <c r="F17" s="16" t="str">
        <f t="shared" si="2"/>
        <v>60</v>
      </c>
    </row>
    <row r="18" spans="1:6" ht="12.75" x14ac:dyDescent="0.2">
      <c r="A18" s="14">
        <v>30</v>
      </c>
      <c r="B18" s="2" t="s">
        <v>15</v>
      </c>
      <c r="C18" s="2" t="s">
        <v>4</v>
      </c>
      <c r="D18">
        <f t="shared" si="0"/>
        <v>69</v>
      </c>
      <c r="E18">
        <f t="shared" si="1"/>
        <v>89</v>
      </c>
      <c r="F18" s="16" t="str">
        <f t="shared" si="2"/>
        <v>78</v>
      </c>
    </row>
    <row r="19" spans="1:6" ht="12.75" x14ac:dyDescent="0.2">
      <c r="A19" s="15">
        <v>12</v>
      </c>
      <c r="B19" s="3" t="s">
        <v>26</v>
      </c>
      <c r="C19" s="3" t="s">
        <v>4</v>
      </c>
      <c r="D19">
        <f t="shared" si="0"/>
        <v>27.599999999999998</v>
      </c>
      <c r="E19">
        <f t="shared" si="1"/>
        <v>47.599999999999994</v>
      </c>
      <c r="F19" s="16" t="str">
        <f t="shared" si="2"/>
        <v>60</v>
      </c>
    </row>
    <row r="20" spans="1:6" ht="12.75" x14ac:dyDescent="0.2">
      <c r="A20" s="14">
        <v>7</v>
      </c>
      <c r="B20" s="7" t="s">
        <v>32</v>
      </c>
      <c r="C20" s="7" t="s">
        <v>4</v>
      </c>
      <c r="D20">
        <f t="shared" si="0"/>
        <v>16.099999999999998</v>
      </c>
      <c r="E20">
        <f t="shared" si="1"/>
        <v>36.099999999999994</v>
      </c>
      <c r="F20" s="16" t="str">
        <f t="shared" si="2"/>
        <v>60</v>
      </c>
    </row>
    <row r="21" spans="1:6" ht="12.75" hidden="1" x14ac:dyDescent="0.2">
      <c r="A21" s="15">
        <v>25</v>
      </c>
      <c r="B21" s="3" t="s">
        <v>14</v>
      </c>
      <c r="C21" s="3" t="s">
        <v>11</v>
      </c>
      <c r="D21">
        <f t="shared" si="0"/>
        <v>57.499999999999993</v>
      </c>
      <c r="E21">
        <f t="shared" si="1"/>
        <v>77.5</v>
      </c>
      <c r="F21" s="16" t="str">
        <f t="shared" si="2"/>
        <v>60</v>
      </c>
    </row>
    <row r="22" spans="1:6" ht="12.75" x14ac:dyDescent="0.2">
      <c r="A22" s="14">
        <v>30</v>
      </c>
      <c r="B22" s="7" t="s">
        <v>28</v>
      </c>
      <c r="C22" s="7" t="s">
        <v>4</v>
      </c>
      <c r="D22">
        <f t="shared" si="0"/>
        <v>69</v>
      </c>
      <c r="E22">
        <f t="shared" si="1"/>
        <v>89</v>
      </c>
      <c r="F22" s="16" t="str">
        <f t="shared" si="2"/>
        <v>78</v>
      </c>
    </row>
    <row r="23" spans="1:6" ht="12.75" x14ac:dyDescent="0.2">
      <c r="A23" s="15">
        <v>13</v>
      </c>
      <c r="B23" s="3" t="s">
        <v>36</v>
      </c>
      <c r="C23" s="3" t="s">
        <v>4</v>
      </c>
      <c r="D23">
        <f t="shared" si="0"/>
        <v>29.9</v>
      </c>
      <c r="E23">
        <f t="shared" si="1"/>
        <v>49.9</v>
      </c>
      <c r="F23" s="16" t="str">
        <f t="shared" si="2"/>
        <v>60</v>
      </c>
    </row>
    <row r="24" spans="1:6" ht="12.75" x14ac:dyDescent="0.2">
      <c r="A24" s="14">
        <v>30</v>
      </c>
      <c r="B24" s="2" t="s">
        <v>19</v>
      </c>
      <c r="C24" s="2" t="s">
        <v>4</v>
      </c>
      <c r="D24">
        <f t="shared" si="0"/>
        <v>69</v>
      </c>
      <c r="E24">
        <f t="shared" si="1"/>
        <v>89</v>
      </c>
      <c r="F24" s="16" t="str">
        <f t="shared" si="2"/>
        <v>78</v>
      </c>
    </row>
    <row r="25" spans="1:6" ht="12.75" x14ac:dyDescent="0.2">
      <c r="A25" s="15">
        <v>29</v>
      </c>
      <c r="B25" s="5" t="s">
        <v>21</v>
      </c>
      <c r="C25" s="5" t="s">
        <v>4</v>
      </c>
      <c r="D25">
        <f t="shared" si="0"/>
        <v>66.699999999999989</v>
      </c>
      <c r="E25">
        <f t="shared" si="1"/>
        <v>86.699999999999989</v>
      </c>
      <c r="F25" s="16" t="str">
        <f t="shared" si="2"/>
        <v>78</v>
      </c>
    </row>
    <row r="26" spans="1:6" ht="12.75" x14ac:dyDescent="0.2">
      <c r="A26" s="14">
        <v>18</v>
      </c>
      <c r="B26" s="7" t="s">
        <v>38</v>
      </c>
      <c r="C26" s="7" t="s">
        <v>4</v>
      </c>
      <c r="D26">
        <f t="shared" si="0"/>
        <v>41.4</v>
      </c>
      <c r="E26">
        <f t="shared" si="1"/>
        <v>61.4</v>
      </c>
      <c r="F26" s="16" t="str">
        <f t="shared" si="2"/>
        <v>60</v>
      </c>
    </row>
    <row r="27" spans="1:6" ht="12.75" x14ac:dyDescent="0.2">
      <c r="A27" s="15">
        <v>8</v>
      </c>
      <c r="B27" s="5" t="s">
        <v>43</v>
      </c>
      <c r="C27" s="5" t="s">
        <v>4</v>
      </c>
      <c r="D27">
        <f t="shared" si="0"/>
        <v>18.399999999999999</v>
      </c>
      <c r="E27">
        <f t="shared" si="1"/>
        <v>38.4</v>
      </c>
      <c r="F27" s="16" t="str">
        <f t="shared" si="2"/>
        <v>60</v>
      </c>
    </row>
    <row r="28" spans="1:6" ht="12.75" x14ac:dyDescent="0.2">
      <c r="A28" s="15">
        <v>30</v>
      </c>
      <c r="B28" s="3" t="s">
        <v>42</v>
      </c>
      <c r="C28" s="3" t="s">
        <v>4</v>
      </c>
      <c r="D28">
        <f t="shared" si="0"/>
        <v>69</v>
      </c>
      <c r="E28">
        <f t="shared" si="1"/>
        <v>89</v>
      </c>
      <c r="F28" s="16" t="str">
        <f t="shared" si="2"/>
        <v>78</v>
      </c>
    </row>
    <row r="29" spans="1:6" ht="12.75" x14ac:dyDescent="0.2">
      <c r="A29" s="14">
        <v>21</v>
      </c>
      <c r="B29" s="7" t="s">
        <v>7</v>
      </c>
      <c r="C29" s="7" t="s">
        <v>4</v>
      </c>
      <c r="D29">
        <f t="shared" si="0"/>
        <v>48.3</v>
      </c>
      <c r="E29">
        <f t="shared" si="1"/>
        <v>68.3</v>
      </c>
      <c r="F29" s="16" t="str">
        <f t="shared" si="2"/>
        <v>60</v>
      </c>
    </row>
    <row r="30" spans="1:6" ht="12.75" x14ac:dyDescent="0.2">
      <c r="A30" s="15">
        <v>30</v>
      </c>
      <c r="B30" s="5" t="s">
        <v>6</v>
      </c>
      <c r="C30" s="5" t="s">
        <v>4</v>
      </c>
      <c r="D30">
        <f t="shared" si="0"/>
        <v>69</v>
      </c>
      <c r="E30">
        <f t="shared" si="1"/>
        <v>89</v>
      </c>
      <c r="F30" s="16" t="str">
        <f t="shared" si="2"/>
        <v>78</v>
      </c>
    </row>
    <row r="31" spans="1:6" ht="12.75" x14ac:dyDescent="0.2">
      <c r="A31" s="14">
        <v>30</v>
      </c>
      <c r="B31" s="7" t="s">
        <v>20</v>
      </c>
      <c r="C31" s="7" t="s">
        <v>4</v>
      </c>
      <c r="D31">
        <f t="shared" si="0"/>
        <v>69</v>
      </c>
      <c r="E31">
        <f t="shared" si="1"/>
        <v>89</v>
      </c>
      <c r="F31" s="16" t="str">
        <f t="shared" si="2"/>
        <v>78</v>
      </c>
    </row>
    <row r="32" spans="1:6" ht="12.75" x14ac:dyDescent="0.2">
      <c r="A32" s="15">
        <v>27</v>
      </c>
      <c r="B32" s="5" t="s">
        <v>35</v>
      </c>
      <c r="C32" s="5" t="s">
        <v>4</v>
      </c>
      <c r="D32">
        <f t="shared" si="0"/>
        <v>62.099999999999994</v>
      </c>
      <c r="E32">
        <f t="shared" si="1"/>
        <v>82.1</v>
      </c>
      <c r="F32" s="16" t="str">
        <f t="shared" si="2"/>
        <v>78</v>
      </c>
    </row>
    <row r="33" spans="1:6" ht="12.75" x14ac:dyDescent="0.2">
      <c r="A33" s="14">
        <v>30</v>
      </c>
      <c r="B33" s="7" t="s">
        <v>5</v>
      </c>
      <c r="C33" s="7" t="s">
        <v>4</v>
      </c>
      <c r="D33">
        <f t="shared" si="0"/>
        <v>69</v>
      </c>
      <c r="E33">
        <f t="shared" si="1"/>
        <v>89</v>
      </c>
      <c r="F33" s="16" t="str">
        <f t="shared" si="2"/>
        <v>78</v>
      </c>
    </row>
    <row r="34" spans="1:6" ht="12.75" hidden="1" x14ac:dyDescent="0.2">
      <c r="A34" s="15">
        <v>17</v>
      </c>
      <c r="B34" s="5" t="s">
        <v>33</v>
      </c>
      <c r="C34" s="5" t="s">
        <v>11</v>
      </c>
      <c r="D34">
        <f t="shared" si="0"/>
        <v>39.099999999999994</v>
      </c>
      <c r="E34">
        <f t="shared" si="1"/>
        <v>59.099999999999994</v>
      </c>
      <c r="F34" s="16" t="str">
        <f t="shared" si="2"/>
        <v>60</v>
      </c>
    </row>
    <row r="35" spans="1:6" ht="12.75" hidden="1" x14ac:dyDescent="0.2">
      <c r="A35" s="14">
        <v>30</v>
      </c>
      <c r="B35" s="2" t="s">
        <v>10</v>
      </c>
      <c r="C35" s="2" t="s">
        <v>11</v>
      </c>
      <c r="D35">
        <f t="shared" si="0"/>
        <v>69</v>
      </c>
      <c r="E35">
        <f t="shared" si="1"/>
        <v>89</v>
      </c>
      <c r="F35" s="16" t="str">
        <f t="shared" si="2"/>
        <v>78</v>
      </c>
    </row>
    <row r="36" spans="1:6" ht="12.75" hidden="1" x14ac:dyDescent="0.2">
      <c r="A36" s="15">
        <v>25</v>
      </c>
      <c r="B36" s="5" t="s">
        <v>45</v>
      </c>
      <c r="C36" s="5" t="s">
        <v>11</v>
      </c>
      <c r="D36">
        <f t="shared" si="0"/>
        <v>57.499999999999993</v>
      </c>
      <c r="E36">
        <f t="shared" si="1"/>
        <v>77.5</v>
      </c>
      <c r="F36" s="16" t="str">
        <f t="shared" si="2"/>
        <v>60</v>
      </c>
    </row>
    <row r="37" spans="1:6" ht="12.75" x14ac:dyDescent="0.2">
      <c r="A37" s="14">
        <v>30</v>
      </c>
      <c r="B37" s="2" t="s">
        <v>47</v>
      </c>
      <c r="C37" s="2" t="s">
        <v>4</v>
      </c>
      <c r="D37">
        <f t="shared" si="0"/>
        <v>69</v>
      </c>
      <c r="E37">
        <f t="shared" si="1"/>
        <v>89</v>
      </c>
      <c r="F37" s="16" t="str">
        <f t="shared" si="2"/>
        <v>78</v>
      </c>
    </row>
    <row r="38" spans="1:6" ht="12.75" hidden="1" x14ac:dyDescent="0.2">
      <c r="A38" s="15">
        <v>14</v>
      </c>
      <c r="B38" s="3" t="s">
        <v>40</v>
      </c>
      <c r="C38" s="3" t="s">
        <v>11</v>
      </c>
      <c r="D38">
        <f t="shared" si="0"/>
        <v>32.199999999999996</v>
      </c>
      <c r="E38">
        <f t="shared" si="1"/>
        <v>52.199999999999996</v>
      </c>
      <c r="F38" s="16" t="str">
        <f t="shared" si="2"/>
        <v>60</v>
      </c>
    </row>
    <row r="39" spans="1:6" ht="12.75" x14ac:dyDescent="0.2">
      <c r="A39" s="14">
        <v>30</v>
      </c>
      <c r="B39" s="7" t="s">
        <v>22</v>
      </c>
      <c r="C39" s="7" t="s">
        <v>4</v>
      </c>
      <c r="D39">
        <f t="shared" si="0"/>
        <v>69</v>
      </c>
      <c r="E39">
        <f t="shared" si="1"/>
        <v>89</v>
      </c>
      <c r="F39" s="16" t="str">
        <f t="shared" si="2"/>
        <v>78</v>
      </c>
    </row>
    <row r="40" spans="1:6" ht="12.75" x14ac:dyDescent="0.2">
      <c r="A40" s="15">
        <v>30</v>
      </c>
      <c r="B40" s="3" t="s">
        <v>44</v>
      </c>
      <c r="C40" s="3" t="s">
        <v>4</v>
      </c>
      <c r="D40">
        <f t="shared" si="0"/>
        <v>69</v>
      </c>
      <c r="E40">
        <f t="shared" si="1"/>
        <v>89</v>
      </c>
      <c r="F40" s="16" t="str">
        <f t="shared" si="2"/>
        <v>78</v>
      </c>
    </row>
    <row r="41" spans="1:6" ht="12.75" x14ac:dyDescent="0.2">
      <c r="A41" s="14">
        <v>25</v>
      </c>
      <c r="B41" s="7" t="s">
        <v>46</v>
      </c>
      <c r="C41" s="7" t="s">
        <v>4</v>
      </c>
      <c r="D41">
        <f t="shared" si="0"/>
        <v>57.499999999999993</v>
      </c>
      <c r="E41">
        <f t="shared" si="1"/>
        <v>77.5</v>
      </c>
      <c r="F41" s="16" t="str">
        <f t="shared" si="2"/>
        <v>60</v>
      </c>
    </row>
    <row r="42" spans="1:6" ht="12.75" x14ac:dyDescent="0.2">
      <c r="A42" s="15">
        <v>4</v>
      </c>
      <c r="B42" s="3" t="s">
        <v>16</v>
      </c>
      <c r="C42" s="3" t="s">
        <v>4</v>
      </c>
      <c r="D42">
        <f t="shared" si="0"/>
        <v>9.1999999999999993</v>
      </c>
      <c r="E42">
        <f t="shared" si="1"/>
        <v>29.2</v>
      </c>
      <c r="F42" s="16" t="str">
        <f t="shared" si="2"/>
        <v>60</v>
      </c>
    </row>
    <row r="43" spans="1:6" ht="12.75" x14ac:dyDescent="0.2">
      <c r="A43" s="14">
        <v>30</v>
      </c>
      <c r="B43" s="2" t="s">
        <v>8</v>
      </c>
      <c r="C43" s="2" t="s">
        <v>4</v>
      </c>
      <c r="D43">
        <f t="shared" si="0"/>
        <v>69</v>
      </c>
      <c r="E43">
        <f t="shared" si="1"/>
        <v>89</v>
      </c>
      <c r="F43" s="16" t="str">
        <f t="shared" si="2"/>
        <v>78</v>
      </c>
    </row>
    <row r="44" spans="1:6" ht="12.75" x14ac:dyDescent="0.2">
      <c r="A44" s="15">
        <v>29</v>
      </c>
      <c r="B44" s="5" t="s">
        <v>3</v>
      </c>
      <c r="C44" s="5" t="s">
        <v>4</v>
      </c>
      <c r="D44">
        <f t="shared" si="0"/>
        <v>66.699999999999989</v>
      </c>
      <c r="E44">
        <f t="shared" si="1"/>
        <v>86.699999999999989</v>
      </c>
      <c r="F44" s="16" t="str">
        <f t="shared" si="2"/>
        <v>78</v>
      </c>
    </row>
    <row r="45" spans="1:6" ht="15.75" hidden="1" customHeight="1" x14ac:dyDescent="0.2">
      <c r="A45" s="14">
        <v>13</v>
      </c>
      <c r="B45" s="7" t="s">
        <v>18</v>
      </c>
      <c r="C45" s="7" t="s">
        <v>11</v>
      </c>
      <c r="D45">
        <f t="shared" si="0"/>
        <v>29.9</v>
      </c>
      <c r="E45">
        <f t="shared" si="1"/>
        <v>49.9</v>
      </c>
      <c r="F45" s="16" t="str">
        <f t="shared" si="2"/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A4" sqref="A4:G4"/>
    </sheetView>
  </sheetViews>
  <sheetFormatPr defaultRowHeight="12.75" x14ac:dyDescent="0.2"/>
  <cols>
    <col min="1" max="1" width="3.7109375" bestFit="1" customWidth="1"/>
    <col min="2" max="2" width="30.5703125" style="39" bestFit="1" customWidth="1"/>
    <col min="3" max="3" width="8" bestFit="1" customWidth="1"/>
    <col min="4" max="4" width="10" bestFit="1" customWidth="1"/>
    <col min="5" max="5" width="15.28515625" bestFit="1" customWidth="1"/>
    <col min="6" max="6" width="13.5703125" bestFit="1" customWidth="1"/>
    <col min="7" max="7" width="10.140625" bestFit="1" customWidth="1"/>
  </cols>
  <sheetData>
    <row r="1" spans="1:7" x14ac:dyDescent="0.2">
      <c r="A1" s="43" t="s">
        <v>129</v>
      </c>
      <c r="B1" s="43"/>
      <c r="C1" s="43"/>
      <c r="D1" s="43"/>
      <c r="E1" s="43"/>
      <c r="F1" s="43"/>
      <c r="G1" s="43"/>
    </row>
    <row r="2" spans="1:7" x14ac:dyDescent="0.2">
      <c r="A2" s="43"/>
      <c r="B2" s="43"/>
      <c r="C2" s="43"/>
      <c r="D2" s="43"/>
      <c r="E2" s="43"/>
      <c r="F2" s="43"/>
      <c r="G2" s="43"/>
    </row>
    <row r="4" spans="1:7" ht="15" x14ac:dyDescent="0.2">
      <c r="A4" s="40" t="s">
        <v>110</v>
      </c>
      <c r="B4" s="41" t="s">
        <v>1</v>
      </c>
      <c r="C4" s="42" t="s">
        <v>2</v>
      </c>
      <c r="D4" s="42" t="s">
        <v>128</v>
      </c>
      <c r="E4" s="42" t="s">
        <v>111</v>
      </c>
      <c r="F4" s="42" t="s">
        <v>112</v>
      </c>
      <c r="G4" s="42" t="s">
        <v>121</v>
      </c>
    </row>
    <row r="5" spans="1:7" x14ac:dyDescent="0.2">
      <c r="A5" s="29">
        <v>1</v>
      </c>
      <c r="B5" s="37" t="s">
        <v>82</v>
      </c>
      <c r="C5" s="30" t="s">
        <v>4</v>
      </c>
      <c r="D5" s="29">
        <v>30</v>
      </c>
      <c r="E5" s="31">
        <v>69</v>
      </c>
      <c r="F5" s="31">
        <v>89</v>
      </c>
      <c r="G5" s="32" t="s">
        <v>71</v>
      </c>
    </row>
    <row r="6" spans="1:7" x14ac:dyDescent="0.2">
      <c r="A6" s="29">
        <v>2</v>
      </c>
      <c r="B6" s="38" t="s">
        <v>125</v>
      </c>
      <c r="C6" s="33" t="s">
        <v>4</v>
      </c>
      <c r="D6" s="34">
        <v>21</v>
      </c>
      <c r="E6" s="35">
        <v>48.3</v>
      </c>
      <c r="F6" s="35">
        <v>68.3</v>
      </c>
      <c r="G6" s="36" t="s">
        <v>72</v>
      </c>
    </row>
    <row r="7" spans="1:7" x14ac:dyDescent="0.2">
      <c r="A7" s="29">
        <v>3</v>
      </c>
      <c r="B7" s="37" t="s">
        <v>84</v>
      </c>
      <c r="C7" s="30" t="s">
        <v>4</v>
      </c>
      <c r="D7" s="29">
        <v>30</v>
      </c>
      <c r="E7" s="31">
        <v>69</v>
      </c>
      <c r="F7" s="31">
        <v>89</v>
      </c>
      <c r="G7" s="32" t="s">
        <v>71</v>
      </c>
    </row>
    <row r="8" spans="1:7" x14ac:dyDescent="0.2">
      <c r="A8" s="29">
        <v>4</v>
      </c>
      <c r="B8" s="38" t="s">
        <v>85</v>
      </c>
      <c r="C8" s="33" t="s">
        <v>4</v>
      </c>
      <c r="D8" s="34">
        <v>28</v>
      </c>
      <c r="E8" s="35">
        <v>64.399999999999991</v>
      </c>
      <c r="F8" s="35">
        <v>84.399999999999991</v>
      </c>
      <c r="G8" s="36" t="s">
        <v>71</v>
      </c>
    </row>
    <row r="9" spans="1:7" x14ac:dyDescent="0.2">
      <c r="A9" s="29">
        <v>5</v>
      </c>
      <c r="B9" s="37" t="s">
        <v>86</v>
      </c>
      <c r="C9" s="30" t="s">
        <v>4</v>
      </c>
      <c r="D9" s="29">
        <v>27</v>
      </c>
      <c r="E9" s="31">
        <v>62.099999999999994</v>
      </c>
      <c r="F9" s="31">
        <v>82.1</v>
      </c>
      <c r="G9" s="32" t="s">
        <v>71</v>
      </c>
    </row>
    <row r="10" spans="1:7" x14ac:dyDescent="0.2">
      <c r="A10" s="29">
        <v>6</v>
      </c>
      <c r="B10" s="38" t="s">
        <v>87</v>
      </c>
      <c r="C10" s="33" t="s">
        <v>4</v>
      </c>
      <c r="D10" s="34">
        <v>27</v>
      </c>
      <c r="E10" s="35">
        <v>62.099999999999994</v>
      </c>
      <c r="F10" s="35">
        <v>82.1</v>
      </c>
      <c r="G10" s="36" t="s">
        <v>71</v>
      </c>
    </row>
    <row r="11" spans="1:7" x14ac:dyDescent="0.2">
      <c r="A11" s="29">
        <v>7</v>
      </c>
      <c r="B11" s="37" t="s">
        <v>88</v>
      </c>
      <c r="C11" s="30" t="s">
        <v>4</v>
      </c>
      <c r="D11" s="29">
        <v>27</v>
      </c>
      <c r="E11" s="31">
        <v>62.099999999999994</v>
      </c>
      <c r="F11" s="31">
        <v>82.1</v>
      </c>
      <c r="G11" s="32" t="s">
        <v>71</v>
      </c>
    </row>
    <row r="12" spans="1:7" x14ac:dyDescent="0.2">
      <c r="A12" s="29">
        <v>8</v>
      </c>
      <c r="B12" s="38" t="s">
        <v>89</v>
      </c>
      <c r="C12" s="33" t="s">
        <v>4</v>
      </c>
      <c r="D12" s="34">
        <v>6</v>
      </c>
      <c r="E12" s="35">
        <v>13.799999999999999</v>
      </c>
      <c r="F12" s="35">
        <v>33.799999999999997</v>
      </c>
      <c r="G12" s="36" t="s">
        <v>72</v>
      </c>
    </row>
    <row r="13" spans="1:7" x14ac:dyDescent="0.2">
      <c r="A13" s="29">
        <v>9</v>
      </c>
      <c r="B13" s="37" t="s">
        <v>90</v>
      </c>
      <c r="C13" s="30" t="s">
        <v>4</v>
      </c>
      <c r="D13" s="29">
        <v>29</v>
      </c>
      <c r="E13" s="31">
        <v>66.699999999999989</v>
      </c>
      <c r="F13" s="31">
        <v>86.699999999999989</v>
      </c>
      <c r="G13" s="32" t="s">
        <v>71</v>
      </c>
    </row>
    <row r="14" spans="1:7" x14ac:dyDescent="0.2">
      <c r="A14" s="29">
        <v>10</v>
      </c>
      <c r="B14" s="38" t="s">
        <v>91</v>
      </c>
      <c r="C14" s="33" t="s">
        <v>4</v>
      </c>
      <c r="D14" s="34">
        <v>29</v>
      </c>
      <c r="E14" s="35">
        <v>66.699999999999989</v>
      </c>
      <c r="F14" s="35">
        <v>86.699999999999989</v>
      </c>
      <c r="G14" s="36" t="s">
        <v>71</v>
      </c>
    </row>
    <row r="15" spans="1:7" x14ac:dyDescent="0.2">
      <c r="A15" s="29">
        <v>11</v>
      </c>
      <c r="B15" s="37" t="s">
        <v>31</v>
      </c>
      <c r="C15" s="30" t="s">
        <v>4</v>
      </c>
      <c r="D15" s="29">
        <v>13</v>
      </c>
      <c r="E15" s="31">
        <v>29.9</v>
      </c>
      <c r="F15" s="31">
        <v>49.9</v>
      </c>
      <c r="G15" s="32" t="s">
        <v>72</v>
      </c>
    </row>
    <row r="16" spans="1:7" x14ac:dyDescent="0.2">
      <c r="A16" s="29">
        <v>12</v>
      </c>
      <c r="B16" s="38" t="s">
        <v>92</v>
      </c>
      <c r="C16" s="33" t="s">
        <v>4</v>
      </c>
      <c r="D16" s="34">
        <v>30</v>
      </c>
      <c r="E16" s="35">
        <v>69</v>
      </c>
      <c r="F16" s="35">
        <v>89</v>
      </c>
      <c r="G16" s="36" t="s">
        <v>71</v>
      </c>
    </row>
    <row r="17" spans="1:7" x14ac:dyDescent="0.2">
      <c r="A17" s="29">
        <v>13</v>
      </c>
      <c r="B17" s="37" t="s">
        <v>26</v>
      </c>
      <c r="C17" s="30" t="s">
        <v>4</v>
      </c>
      <c r="D17" s="29">
        <v>12</v>
      </c>
      <c r="E17" s="31">
        <v>27.599999999999998</v>
      </c>
      <c r="F17" s="31">
        <v>47.599999999999994</v>
      </c>
      <c r="G17" s="32" t="s">
        <v>72</v>
      </c>
    </row>
    <row r="18" spans="1:7" x14ac:dyDescent="0.2">
      <c r="A18" s="29">
        <v>14</v>
      </c>
      <c r="B18" s="38" t="s">
        <v>32</v>
      </c>
      <c r="C18" s="33" t="s">
        <v>4</v>
      </c>
      <c r="D18" s="34">
        <v>7</v>
      </c>
      <c r="E18" s="35">
        <v>16.099999999999998</v>
      </c>
      <c r="F18" s="35">
        <v>36.099999999999994</v>
      </c>
      <c r="G18" s="36" t="s">
        <v>72</v>
      </c>
    </row>
    <row r="19" spans="1:7" x14ac:dyDescent="0.2">
      <c r="A19" s="29">
        <v>15</v>
      </c>
      <c r="B19" s="37" t="s">
        <v>94</v>
      </c>
      <c r="C19" s="30" t="s">
        <v>4</v>
      </c>
      <c r="D19" s="29">
        <v>30</v>
      </c>
      <c r="E19" s="31">
        <v>69</v>
      </c>
      <c r="F19" s="31">
        <v>89</v>
      </c>
      <c r="G19" s="32" t="s">
        <v>71</v>
      </c>
    </row>
    <row r="20" spans="1:7" x14ac:dyDescent="0.2">
      <c r="A20" s="29">
        <v>16</v>
      </c>
      <c r="B20" s="38" t="s">
        <v>95</v>
      </c>
      <c r="C20" s="33" t="s">
        <v>4</v>
      </c>
      <c r="D20" s="34">
        <v>13</v>
      </c>
      <c r="E20" s="35">
        <v>29.9</v>
      </c>
      <c r="F20" s="35">
        <v>49.9</v>
      </c>
      <c r="G20" s="36" t="s">
        <v>72</v>
      </c>
    </row>
    <row r="21" spans="1:7" x14ac:dyDescent="0.2">
      <c r="A21" s="29">
        <v>17</v>
      </c>
      <c r="B21" s="37" t="s">
        <v>96</v>
      </c>
      <c r="C21" s="30" t="s">
        <v>4</v>
      </c>
      <c r="D21" s="29">
        <v>30</v>
      </c>
      <c r="E21" s="31">
        <v>69</v>
      </c>
      <c r="F21" s="31">
        <v>89</v>
      </c>
      <c r="G21" s="32" t="s">
        <v>71</v>
      </c>
    </row>
    <row r="22" spans="1:7" x14ac:dyDescent="0.2">
      <c r="A22" s="29">
        <v>18</v>
      </c>
      <c r="B22" s="38" t="s">
        <v>21</v>
      </c>
      <c r="C22" s="33" t="s">
        <v>4</v>
      </c>
      <c r="D22" s="34">
        <v>29</v>
      </c>
      <c r="E22" s="35">
        <v>66.699999999999989</v>
      </c>
      <c r="F22" s="35">
        <v>86.699999999999989</v>
      </c>
      <c r="G22" s="36" t="s">
        <v>71</v>
      </c>
    </row>
    <row r="23" spans="1:7" x14ac:dyDescent="0.2">
      <c r="A23" s="29">
        <v>19</v>
      </c>
      <c r="B23" s="37" t="s">
        <v>97</v>
      </c>
      <c r="C23" s="30" t="s">
        <v>4</v>
      </c>
      <c r="D23" s="29">
        <v>18</v>
      </c>
      <c r="E23" s="31">
        <v>41.4</v>
      </c>
      <c r="F23" s="31">
        <v>61.4</v>
      </c>
      <c r="G23" s="32" t="s">
        <v>72</v>
      </c>
    </row>
    <row r="24" spans="1:7" x14ac:dyDescent="0.2">
      <c r="A24" s="29">
        <v>20</v>
      </c>
      <c r="B24" s="38" t="s">
        <v>126</v>
      </c>
      <c r="C24" s="33" t="s">
        <v>4</v>
      </c>
      <c r="D24" s="34">
        <v>8</v>
      </c>
      <c r="E24" s="35">
        <v>18.399999999999999</v>
      </c>
      <c r="F24" s="35">
        <v>38.4</v>
      </c>
      <c r="G24" s="36" t="s">
        <v>72</v>
      </c>
    </row>
    <row r="25" spans="1:7" x14ac:dyDescent="0.2">
      <c r="A25" s="29">
        <v>21</v>
      </c>
      <c r="B25" s="37" t="s">
        <v>42</v>
      </c>
      <c r="C25" s="30" t="s">
        <v>4</v>
      </c>
      <c r="D25" s="29">
        <v>30</v>
      </c>
      <c r="E25" s="31">
        <v>69</v>
      </c>
      <c r="F25" s="31">
        <v>89</v>
      </c>
      <c r="G25" s="32" t="s">
        <v>71</v>
      </c>
    </row>
    <row r="26" spans="1:7" x14ac:dyDescent="0.2">
      <c r="A26" s="29">
        <v>22</v>
      </c>
      <c r="B26" s="38" t="s">
        <v>7</v>
      </c>
      <c r="C26" s="33" t="s">
        <v>4</v>
      </c>
      <c r="D26" s="34">
        <v>21</v>
      </c>
      <c r="E26" s="35">
        <v>48.3</v>
      </c>
      <c r="F26" s="35">
        <v>68.3</v>
      </c>
      <c r="G26" s="36" t="s">
        <v>72</v>
      </c>
    </row>
    <row r="27" spans="1:7" x14ac:dyDescent="0.2">
      <c r="A27" s="29">
        <v>23</v>
      </c>
      <c r="B27" s="37" t="s">
        <v>98</v>
      </c>
      <c r="C27" s="30" t="s">
        <v>4</v>
      </c>
      <c r="D27" s="29">
        <v>30</v>
      </c>
      <c r="E27" s="31">
        <v>69</v>
      </c>
      <c r="F27" s="31">
        <v>89</v>
      </c>
      <c r="G27" s="32" t="s">
        <v>71</v>
      </c>
    </row>
    <row r="28" spans="1:7" x14ac:dyDescent="0.2">
      <c r="A28" s="29">
        <v>24</v>
      </c>
      <c r="B28" s="38" t="s">
        <v>99</v>
      </c>
      <c r="C28" s="33" t="s">
        <v>4</v>
      </c>
      <c r="D28" s="34">
        <v>30</v>
      </c>
      <c r="E28" s="35">
        <v>69</v>
      </c>
      <c r="F28" s="35">
        <v>89</v>
      </c>
      <c r="G28" s="36" t="s">
        <v>71</v>
      </c>
    </row>
    <row r="29" spans="1:7" x14ac:dyDescent="0.2">
      <c r="A29" s="29">
        <v>25</v>
      </c>
      <c r="B29" s="37" t="s">
        <v>100</v>
      </c>
      <c r="C29" s="30" t="s">
        <v>4</v>
      </c>
      <c r="D29" s="29">
        <v>27</v>
      </c>
      <c r="E29" s="31">
        <v>62.099999999999994</v>
      </c>
      <c r="F29" s="31">
        <v>82.1</v>
      </c>
      <c r="G29" s="32" t="s">
        <v>71</v>
      </c>
    </row>
    <row r="30" spans="1:7" x14ac:dyDescent="0.2">
      <c r="A30" s="29">
        <v>26</v>
      </c>
      <c r="B30" s="38" t="s">
        <v>102</v>
      </c>
      <c r="C30" s="33" t="s">
        <v>4</v>
      </c>
      <c r="D30" s="34">
        <v>30</v>
      </c>
      <c r="E30" s="35">
        <v>69</v>
      </c>
      <c r="F30" s="35">
        <v>89</v>
      </c>
      <c r="G30" s="36" t="s">
        <v>71</v>
      </c>
    </row>
    <row r="31" spans="1:7" x14ac:dyDescent="0.2">
      <c r="A31" s="29">
        <v>27</v>
      </c>
      <c r="B31" s="37" t="s">
        <v>103</v>
      </c>
      <c r="C31" s="30" t="s">
        <v>4</v>
      </c>
      <c r="D31" s="29">
        <v>30</v>
      </c>
      <c r="E31" s="31">
        <v>69</v>
      </c>
      <c r="F31" s="31">
        <v>89</v>
      </c>
      <c r="G31" s="32" t="s">
        <v>71</v>
      </c>
    </row>
    <row r="32" spans="1:7" x14ac:dyDescent="0.2">
      <c r="A32" s="29">
        <v>28</v>
      </c>
      <c r="B32" s="38" t="s">
        <v>104</v>
      </c>
      <c r="C32" s="33" t="s">
        <v>4</v>
      </c>
      <c r="D32" s="34">
        <v>30</v>
      </c>
      <c r="E32" s="35">
        <v>69</v>
      </c>
      <c r="F32" s="35">
        <v>89</v>
      </c>
      <c r="G32" s="36" t="s">
        <v>71</v>
      </c>
    </row>
    <row r="33" spans="1:7" x14ac:dyDescent="0.2">
      <c r="A33" s="29">
        <v>29</v>
      </c>
      <c r="B33" s="37" t="s">
        <v>127</v>
      </c>
      <c r="C33" s="30" t="s">
        <v>4</v>
      </c>
      <c r="D33" s="29">
        <v>30</v>
      </c>
      <c r="E33" s="31">
        <v>69</v>
      </c>
      <c r="F33" s="31">
        <v>89</v>
      </c>
      <c r="G33" s="32" t="s">
        <v>71</v>
      </c>
    </row>
    <row r="34" spans="1:7" x14ac:dyDescent="0.2">
      <c r="A34" s="29">
        <v>30</v>
      </c>
      <c r="B34" s="38" t="s">
        <v>106</v>
      </c>
      <c r="C34" s="33" t="s">
        <v>4</v>
      </c>
      <c r="D34" s="34">
        <v>25</v>
      </c>
      <c r="E34" s="35">
        <v>57.499999999999993</v>
      </c>
      <c r="F34" s="35">
        <v>77.5</v>
      </c>
      <c r="G34" s="36" t="s">
        <v>72</v>
      </c>
    </row>
    <row r="35" spans="1:7" x14ac:dyDescent="0.2">
      <c r="A35" s="29">
        <v>31</v>
      </c>
      <c r="B35" s="37" t="s">
        <v>107</v>
      </c>
      <c r="C35" s="30" t="s">
        <v>4</v>
      </c>
      <c r="D35" s="29">
        <v>4</v>
      </c>
      <c r="E35" s="31">
        <v>9.1999999999999993</v>
      </c>
      <c r="F35" s="31">
        <v>29.2</v>
      </c>
      <c r="G35" s="32" t="s">
        <v>72</v>
      </c>
    </row>
    <row r="36" spans="1:7" x14ac:dyDescent="0.2">
      <c r="A36" s="29">
        <v>32</v>
      </c>
      <c r="B36" s="38" t="s">
        <v>108</v>
      </c>
      <c r="C36" s="33" t="s">
        <v>4</v>
      </c>
      <c r="D36" s="34">
        <v>30</v>
      </c>
      <c r="E36" s="35">
        <v>69</v>
      </c>
      <c r="F36" s="35">
        <v>89</v>
      </c>
      <c r="G36" s="36" t="s">
        <v>71</v>
      </c>
    </row>
    <row r="37" spans="1:7" x14ac:dyDescent="0.2">
      <c r="A37" s="29">
        <v>33</v>
      </c>
      <c r="B37" s="37" t="s">
        <v>109</v>
      </c>
      <c r="C37" s="30" t="s">
        <v>4</v>
      </c>
      <c r="D37" s="29">
        <v>29</v>
      </c>
      <c r="E37" s="31">
        <v>66.699999999999989</v>
      </c>
      <c r="F37" s="31">
        <v>86.699999999999989</v>
      </c>
      <c r="G37" s="32" t="s">
        <v>71</v>
      </c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K16" sqref="K16"/>
    </sheetView>
  </sheetViews>
  <sheetFormatPr defaultRowHeight="12.75" x14ac:dyDescent="0.2"/>
  <cols>
    <col min="1" max="1" width="3.7109375" style="16" bestFit="1" customWidth="1"/>
    <col min="2" max="2" width="27.28515625" bestFit="1" customWidth="1"/>
    <col min="3" max="3" width="11.7109375" bestFit="1" customWidth="1"/>
    <col min="4" max="4" width="5.85546875" bestFit="1" customWidth="1"/>
    <col min="5" max="5" width="13.7109375" bestFit="1" customWidth="1"/>
    <col min="6" max="6" width="12.140625" bestFit="1" customWidth="1"/>
    <col min="7" max="7" width="11.42578125" bestFit="1" customWidth="1"/>
  </cols>
  <sheetData>
    <row r="1" spans="1:7" ht="12.75" customHeight="1" x14ac:dyDescent="0.2">
      <c r="A1" s="43" t="s">
        <v>129</v>
      </c>
      <c r="B1" s="43"/>
      <c r="C1" s="43"/>
      <c r="D1" s="43"/>
      <c r="E1" s="43"/>
      <c r="F1" s="43"/>
      <c r="G1" s="43"/>
    </row>
    <row r="2" spans="1:7" ht="12.75" customHeight="1" x14ac:dyDescent="0.2">
      <c r="A2" s="43"/>
      <c r="B2" s="43"/>
      <c r="C2" s="43"/>
      <c r="D2" s="43"/>
      <c r="E2" s="43"/>
      <c r="F2" s="43"/>
      <c r="G2" s="43"/>
    </row>
    <row r="4" spans="1:7" x14ac:dyDescent="0.2">
      <c r="A4" s="23" t="s">
        <v>110</v>
      </c>
      <c r="B4" s="25" t="s">
        <v>1</v>
      </c>
      <c r="C4" s="24" t="s">
        <v>2</v>
      </c>
      <c r="D4" s="24" t="s">
        <v>118</v>
      </c>
      <c r="E4" s="24" t="s">
        <v>111</v>
      </c>
      <c r="F4" s="24" t="s">
        <v>112</v>
      </c>
      <c r="G4" s="24" t="s">
        <v>121</v>
      </c>
    </row>
    <row r="5" spans="1:7" x14ac:dyDescent="0.2">
      <c r="A5" s="21">
        <v>1</v>
      </c>
      <c r="B5" s="37" t="s">
        <v>74</v>
      </c>
      <c r="C5" s="30" t="s">
        <v>11</v>
      </c>
      <c r="D5" s="29">
        <v>13</v>
      </c>
      <c r="E5" s="31">
        <v>29.9</v>
      </c>
      <c r="F5" s="31">
        <v>49.9</v>
      </c>
      <c r="G5" s="32" t="s">
        <v>72</v>
      </c>
    </row>
    <row r="6" spans="1:7" x14ac:dyDescent="0.2">
      <c r="A6" s="21">
        <v>2</v>
      </c>
      <c r="B6" s="38" t="s">
        <v>122</v>
      </c>
      <c r="C6" s="33" t="s">
        <v>11</v>
      </c>
      <c r="D6" s="34">
        <v>11</v>
      </c>
      <c r="E6" s="35">
        <v>25.299999999999997</v>
      </c>
      <c r="F6" s="35">
        <v>45.3</v>
      </c>
      <c r="G6" s="36" t="s">
        <v>72</v>
      </c>
    </row>
    <row r="7" spans="1:7" x14ac:dyDescent="0.2">
      <c r="A7" s="21">
        <v>3</v>
      </c>
      <c r="B7" s="37" t="s">
        <v>76</v>
      </c>
      <c r="C7" s="30" t="s">
        <v>11</v>
      </c>
      <c r="D7" s="29">
        <v>18</v>
      </c>
      <c r="E7" s="31">
        <v>41.4</v>
      </c>
      <c r="F7" s="31">
        <v>61.4</v>
      </c>
      <c r="G7" s="32" t="s">
        <v>72</v>
      </c>
    </row>
    <row r="8" spans="1:7" x14ac:dyDescent="0.2">
      <c r="A8" s="21">
        <v>4</v>
      </c>
      <c r="B8" s="38" t="s">
        <v>41</v>
      </c>
      <c r="C8" s="33" t="s">
        <v>11</v>
      </c>
      <c r="D8" s="34">
        <v>11</v>
      </c>
      <c r="E8" s="35">
        <v>25.299999999999997</v>
      </c>
      <c r="F8" s="35">
        <v>45.3</v>
      </c>
      <c r="G8" s="36" t="s">
        <v>72</v>
      </c>
    </row>
    <row r="9" spans="1:7" x14ac:dyDescent="0.2">
      <c r="A9" s="21">
        <v>5</v>
      </c>
      <c r="B9" s="37" t="s">
        <v>77</v>
      </c>
      <c r="C9" s="30" t="s">
        <v>11</v>
      </c>
      <c r="D9" s="29">
        <v>25</v>
      </c>
      <c r="E9" s="31">
        <v>57.499999999999993</v>
      </c>
      <c r="F9" s="31">
        <v>77.5</v>
      </c>
      <c r="G9" s="32" t="s">
        <v>72</v>
      </c>
    </row>
    <row r="10" spans="1:7" x14ac:dyDescent="0.2">
      <c r="A10" s="21">
        <v>6</v>
      </c>
      <c r="B10" s="38" t="s">
        <v>123</v>
      </c>
      <c r="C10" s="33" t="s">
        <v>11</v>
      </c>
      <c r="D10" s="34">
        <v>17</v>
      </c>
      <c r="E10" s="35">
        <v>39.099999999999994</v>
      </c>
      <c r="F10" s="35">
        <v>59.099999999999994</v>
      </c>
      <c r="G10" s="36" t="s">
        <v>72</v>
      </c>
    </row>
    <row r="11" spans="1:7" x14ac:dyDescent="0.2">
      <c r="A11" s="21">
        <v>7</v>
      </c>
      <c r="B11" s="37" t="s">
        <v>124</v>
      </c>
      <c r="C11" s="30" t="s">
        <v>11</v>
      </c>
      <c r="D11" s="29">
        <v>30</v>
      </c>
      <c r="E11" s="31">
        <v>69</v>
      </c>
      <c r="F11" s="31">
        <v>89</v>
      </c>
      <c r="G11" s="32" t="s">
        <v>71</v>
      </c>
    </row>
    <row r="12" spans="1:7" x14ac:dyDescent="0.2">
      <c r="A12" s="21">
        <v>8</v>
      </c>
      <c r="B12" s="38" t="s">
        <v>79</v>
      </c>
      <c r="C12" s="33" t="s">
        <v>11</v>
      </c>
      <c r="D12" s="34">
        <v>25</v>
      </c>
      <c r="E12" s="35">
        <v>57.499999999999993</v>
      </c>
      <c r="F12" s="35">
        <v>77.5</v>
      </c>
      <c r="G12" s="36" t="s">
        <v>72</v>
      </c>
    </row>
    <row r="13" spans="1:7" x14ac:dyDescent="0.2">
      <c r="A13" s="21">
        <v>9</v>
      </c>
      <c r="B13" s="37" t="s">
        <v>40</v>
      </c>
      <c r="C13" s="30" t="s">
        <v>11</v>
      </c>
      <c r="D13" s="29">
        <v>14</v>
      </c>
      <c r="E13" s="31">
        <v>32.199999999999996</v>
      </c>
      <c r="F13" s="31">
        <v>52.199999999999996</v>
      </c>
      <c r="G13" s="32" t="s">
        <v>72</v>
      </c>
    </row>
    <row r="14" spans="1:7" x14ac:dyDescent="0.2">
      <c r="A14" s="21">
        <v>10</v>
      </c>
      <c r="B14" s="38" t="s">
        <v>81</v>
      </c>
      <c r="C14" s="33" t="s">
        <v>11</v>
      </c>
      <c r="D14" s="34">
        <v>13</v>
      </c>
      <c r="E14" s="35">
        <v>29.9</v>
      </c>
      <c r="F14" s="35">
        <v>49.9</v>
      </c>
      <c r="G14" s="36" t="s">
        <v>72</v>
      </c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4"/>
  <sheetViews>
    <sheetView workbookViewId="0">
      <selection activeCell="F4" sqref="F4"/>
    </sheetView>
  </sheetViews>
  <sheetFormatPr defaultRowHeight="12.75" x14ac:dyDescent="0.2"/>
  <cols>
    <col min="1" max="1" width="6.7109375" bestFit="1" customWidth="1"/>
    <col min="2" max="2" width="28.140625" bestFit="1" customWidth="1"/>
    <col min="3" max="3" width="7.140625" bestFit="1" customWidth="1"/>
    <col min="4" max="4" width="11.7109375" bestFit="1" customWidth="1"/>
    <col min="5" max="5" width="9.42578125" bestFit="1" customWidth="1"/>
    <col min="6" max="6" width="10.85546875" style="12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0" t="s">
        <v>66</v>
      </c>
      <c r="E1" s="10" t="s">
        <v>67</v>
      </c>
      <c r="F1" s="11" t="s">
        <v>68</v>
      </c>
    </row>
    <row r="2" spans="1:6" x14ac:dyDescent="0.2">
      <c r="A2" s="4">
        <v>12</v>
      </c>
      <c r="B2" s="5" t="s">
        <v>42</v>
      </c>
      <c r="C2" s="5" t="s">
        <v>4</v>
      </c>
      <c r="D2">
        <f>A2*2.3</f>
        <v>27.599999999999998</v>
      </c>
      <c r="E2">
        <f>D2+20</f>
        <v>47.599999999999994</v>
      </c>
      <c r="F2" s="12" t="str">
        <f>IF(E2&gt;89,"84",IF(E2&gt;79,"83",IF(E2&gt;69,"79",IF(E2&gt;59,"78","60"))))</f>
        <v>60</v>
      </c>
    </row>
    <row r="3" spans="1:6" x14ac:dyDescent="0.2">
      <c r="A3" s="6">
        <v>34</v>
      </c>
      <c r="B3" s="7" t="s">
        <v>29</v>
      </c>
      <c r="C3" s="7" t="s">
        <v>4</v>
      </c>
      <c r="D3">
        <f t="shared" ref="D3:D44" si="0">A3*2.3</f>
        <v>78.199999999999989</v>
      </c>
      <c r="E3">
        <f t="shared" ref="E3:E44" si="1">D3+20</f>
        <v>98.199999999999989</v>
      </c>
      <c r="F3" s="12" t="str">
        <f>IF(E3&gt;89,"84",IF(E3&gt;79,"83",IF(E3&gt;69,"79",IF(E3&gt;59,"78","60"))))</f>
        <v>84</v>
      </c>
    </row>
    <row r="4" spans="1:6" x14ac:dyDescent="0.2">
      <c r="A4" s="4">
        <v>1</v>
      </c>
      <c r="B4" s="5" t="s">
        <v>12</v>
      </c>
      <c r="C4" s="5" t="s">
        <v>4</v>
      </c>
      <c r="D4">
        <f t="shared" si="0"/>
        <v>2.2999999999999998</v>
      </c>
      <c r="E4">
        <f t="shared" si="1"/>
        <v>22.3</v>
      </c>
      <c r="F4" s="12" t="str">
        <f t="shared" ref="F3:F44" si="2">IF(E4&gt;89,"84",IF(E4&gt;79,"83",IF(E4&gt;69,"79",IF(E4&gt;59,"78","60"))))</f>
        <v>60</v>
      </c>
    </row>
    <row r="5" spans="1:6" hidden="1" x14ac:dyDescent="0.2">
      <c r="A5" s="6">
        <v>33</v>
      </c>
      <c r="B5" s="7" t="s">
        <v>39</v>
      </c>
      <c r="C5" s="7" t="s">
        <v>11</v>
      </c>
      <c r="D5">
        <f t="shared" si="0"/>
        <v>75.899999999999991</v>
      </c>
      <c r="E5">
        <f t="shared" si="1"/>
        <v>95.899999999999991</v>
      </c>
      <c r="F5" s="12" t="str">
        <f t="shared" si="2"/>
        <v>84</v>
      </c>
    </row>
    <row r="6" spans="1:6" x14ac:dyDescent="0.2">
      <c r="A6" s="4">
        <v>29</v>
      </c>
      <c r="B6" s="5" t="s">
        <v>3</v>
      </c>
      <c r="C6" s="5" t="s">
        <v>4</v>
      </c>
      <c r="D6">
        <f t="shared" si="0"/>
        <v>66.699999999999989</v>
      </c>
      <c r="E6">
        <f t="shared" si="1"/>
        <v>86.699999999999989</v>
      </c>
      <c r="F6" s="12" t="str">
        <f t="shared" si="2"/>
        <v>83</v>
      </c>
    </row>
    <row r="7" spans="1:6" x14ac:dyDescent="0.2">
      <c r="A7" s="6">
        <v>30</v>
      </c>
      <c r="B7" s="7" t="s">
        <v>8</v>
      </c>
      <c r="C7" s="7" t="s">
        <v>4</v>
      </c>
      <c r="D7">
        <f t="shared" si="0"/>
        <v>69</v>
      </c>
      <c r="E7">
        <f t="shared" si="1"/>
        <v>89</v>
      </c>
      <c r="F7" s="12" t="str">
        <f t="shared" si="2"/>
        <v>83</v>
      </c>
    </row>
    <row r="8" spans="1:6" hidden="1" x14ac:dyDescent="0.2">
      <c r="A8" s="4">
        <v>23</v>
      </c>
      <c r="B8" s="5" t="s">
        <v>18</v>
      </c>
      <c r="C8" s="5" t="s">
        <v>11</v>
      </c>
      <c r="D8">
        <f t="shared" si="0"/>
        <v>52.9</v>
      </c>
      <c r="E8">
        <f t="shared" si="1"/>
        <v>72.900000000000006</v>
      </c>
      <c r="F8" s="12" t="str">
        <f t="shared" si="2"/>
        <v>79</v>
      </c>
    </row>
    <row r="9" spans="1:6" x14ac:dyDescent="0.2">
      <c r="A9" s="6">
        <v>22</v>
      </c>
      <c r="B9" s="7" t="s">
        <v>48</v>
      </c>
      <c r="C9" s="7" t="s">
        <v>4</v>
      </c>
      <c r="D9">
        <f t="shared" si="0"/>
        <v>50.599999999999994</v>
      </c>
      <c r="E9">
        <f t="shared" si="1"/>
        <v>70.599999999999994</v>
      </c>
      <c r="F9" s="12" t="str">
        <f t="shared" si="2"/>
        <v>79</v>
      </c>
    </row>
    <row r="10" spans="1:6" x14ac:dyDescent="0.2">
      <c r="A10" s="4">
        <v>21</v>
      </c>
      <c r="B10" s="5" t="s">
        <v>49</v>
      </c>
      <c r="C10" s="5" t="s">
        <v>4</v>
      </c>
      <c r="D10">
        <f t="shared" si="0"/>
        <v>48.3</v>
      </c>
      <c r="E10">
        <f t="shared" si="1"/>
        <v>68.3</v>
      </c>
      <c r="F10" s="12" t="str">
        <f t="shared" si="2"/>
        <v>78</v>
      </c>
    </row>
    <row r="11" spans="1:6" x14ac:dyDescent="0.2">
      <c r="A11" s="6">
        <v>32</v>
      </c>
      <c r="B11" s="7" t="s">
        <v>16</v>
      </c>
      <c r="C11" s="7" t="s">
        <v>4</v>
      </c>
      <c r="D11">
        <f t="shared" si="0"/>
        <v>73.599999999999994</v>
      </c>
      <c r="E11">
        <f t="shared" si="1"/>
        <v>93.6</v>
      </c>
      <c r="F11" s="12" t="str">
        <f t="shared" si="2"/>
        <v>84</v>
      </c>
    </row>
    <row r="12" spans="1:6" hidden="1" x14ac:dyDescent="0.2">
      <c r="A12" s="4">
        <v>20</v>
      </c>
      <c r="B12" s="5" t="s">
        <v>50</v>
      </c>
      <c r="C12" s="5" t="s">
        <v>11</v>
      </c>
      <c r="D12">
        <f t="shared" si="0"/>
        <v>46</v>
      </c>
      <c r="E12">
        <f t="shared" si="1"/>
        <v>66</v>
      </c>
      <c r="F12" s="12" t="str">
        <f t="shared" si="2"/>
        <v>78</v>
      </c>
    </row>
    <row r="13" spans="1:6" x14ac:dyDescent="0.2">
      <c r="A13" s="6">
        <v>20</v>
      </c>
      <c r="B13" s="7" t="s">
        <v>51</v>
      </c>
      <c r="C13" s="7" t="s">
        <v>4</v>
      </c>
      <c r="D13">
        <f t="shared" si="0"/>
        <v>46</v>
      </c>
      <c r="E13">
        <f t="shared" si="1"/>
        <v>66</v>
      </c>
      <c r="F13" s="12" t="str">
        <f t="shared" si="2"/>
        <v>78</v>
      </c>
    </row>
    <row r="14" spans="1:6" x14ac:dyDescent="0.2">
      <c r="A14" s="4">
        <v>29</v>
      </c>
      <c r="B14" s="5" t="s">
        <v>52</v>
      </c>
      <c r="C14" s="5" t="s">
        <v>4</v>
      </c>
      <c r="D14">
        <f t="shared" si="0"/>
        <v>66.699999999999989</v>
      </c>
      <c r="E14">
        <f t="shared" si="1"/>
        <v>86.699999999999989</v>
      </c>
      <c r="F14" s="12" t="str">
        <f t="shared" si="2"/>
        <v>83</v>
      </c>
    </row>
    <row r="15" spans="1:6" x14ac:dyDescent="0.2">
      <c r="A15" s="6">
        <v>27</v>
      </c>
      <c r="B15" s="7" t="s">
        <v>7</v>
      </c>
      <c r="C15" s="7" t="s">
        <v>4</v>
      </c>
      <c r="D15">
        <f t="shared" si="0"/>
        <v>62.099999999999994</v>
      </c>
      <c r="E15">
        <f t="shared" si="1"/>
        <v>82.1</v>
      </c>
      <c r="F15" s="12" t="str">
        <f t="shared" si="2"/>
        <v>83</v>
      </c>
    </row>
    <row r="16" spans="1:6" x14ac:dyDescent="0.2">
      <c r="A16" s="4">
        <v>32</v>
      </c>
      <c r="B16" s="5" t="s">
        <v>53</v>
      </c>
      <c r="C16" s="5" t="s">
        <v>4</v>
      </c>
      <c r="D16">
        <f t="shared" si="0"/>
        <v>73.599999999999994</v>
      </c>
      <c r="E16">
        <f t="shared" si="1"/>
        <v>93.6</v>
      </c>
      <c r="F16" s="12" t="str">
        <f t="shared" si="2"/>
        <v>84</v>
      </c>
    </row>
    <row r="17" spans="1:6" x14ac:dyDescent="0.2">
      <c r="A17" s="6">
        <v>34</v>
      </c>
      <c r="B17" s="7" t="s">
        <v>54</v>
      </c>
      <c r="C17" s="7" t="s">
        <v>4</v>
      </c>
      <c r="D17">
        <f t="shared" si="0"/>
        <v>78.199999999999989</v>
      </c>
      <c r="E17">
        <f t="shared" si="1"/>
        <v>98.199999999999989</v>
      </c>
      <c r="F17" s="12" t="str">
        <f t="shared" si="2"/>
        <v>84</v>
      </c>
    </row>
    <row r="18" spans="1:6" x14ac:dyDescent="0.2">
      <c r="A18" s="4">
        <v>32</v>
      </c>
      <c r="B18" s="5" t="s">
        <v>55</v>
      </c>
      <c r="C18" s="5" t="s">
        <v>4</v>
      </c>
      <c r="D18">
        <f t="shared" si="0"/>
        <v>73.599999999999994</v>
      </c>
      <c r="E18">
        <f t="shared" si="1"/>
        <v>93.6</v>
      </c>
      <c r="F18" s="12" t="str">
        <f t="shared" si="2"/>
        <v>84</v>
      </c>
    </row>
    <row r="19" spans="1:6" x14ac:dyDescent="0.2">
      <c r="A19" s="6">
        <v>33</v>
      </c>
      <c r="B19" s="7" t="s">
        <v>56</v>
      </c>
      <c r="C19" s="7" t="s">
        <v>4</v>
      </c>
      <c r="D19">
        <f t="shared" si="0"/>
        <v>75.899999999999991</v>
      </c>
      <c r="E19">
        <f t="shared" si="1"/>
        <v>95.899999999999991</v>
      </c>
      <c r="F19" s="12" t="str">
        <f t="shared" si="2"/>
        <v>84</v>
      </c>
    </row>
    <row r="20" spans="1:6" x14ac:dyDescent="0.2">
      <c r="A20" s="4">
        <v>35</v>
      </c>
      <c r="B20" s="5" t="s">
        <v>57</v>
      </c>
      <c r="C20" s="5" t="s">
        <v>4</v>
      </c>
      <c r="D20">
        <f t="shared" si="0"/>
        <v>80.5</v>
      </c>
      <c r="E20">
        <f t="shared" si="1"/>
        <v>100.5</v>
      </c>
      <c r="F20" s="12" t="str">
        <f t="shared" si="2"/>
        <v>84</v>
      </c>
    </row>
    <row r="21" spans="1:6" x14ac:dyDescent="0.2">
      <c r="A21" s="6">
        <v>15</v>
      </c>
      <c r="B21" s="7" t="s">
        <v>38</v>
      </c>
      <c r="C21" s="7" t="s">
        <v>4</v>
      </c>
      <c r="D21">
        <f t="shared" si="0"/>
        <v>34.5</v>
      </c>
      <c r="E21">
        <f t="shared" si="1"/>
        <v>54.5</v>
      </c>
      <c r="F21" s="12" t="str">
        <f t="shared" si="2"/>
        <v>60</v>
      </c>
    </row>
    <row r="22" spans="1:6" x14ac:dyDescent="0.2">
      <c r="A22" s="4">
        <v>26</v>
      </c>
      <c r="B22" s="5" t="s">
        <v>58</v>
      </c>
      <c r="C22" s="5" t="s">
        <v>4</v>
      </c>
      <c r="D22">
        <f t="shared" si="0"/>
        <v>59.8</v>
      </c>
      <c r="E22">
        <f t="shared" si="1"/>
        <v>79.8</v>
      </c>
      <c r="F22" s="12" t="str">
        <f t="shared" si="2"/>
        <v>83</v>
      </c>
    </row>
    <row r="23" spans="1:6" x14ac:dyDescent="0.2">
      <c r="A23" s="6">
        <v>34</v>
      </c>
      <c r="B23" s="7" t="s">
        <v>25</v>
      </c>
      <c r="C23" s="7" t="s">
        <v>4</v>
      </c>
      <c r="D23">
        <f t="shared" si="0"/>
        <v>78.199999999999989</v>
      </c>
      <c r="E23">
        <f t="shared" si="1"/>
        <v>98.199999999999989</v>
      </c>
      <c r="F23" s="12" t="str">
        <f t="shared" si="2"/>
        <v>84</v>
      </c>
    </row>
    <row r="24" spans="1:6" x14ac:dyDescent="0.2">
      <c r="A24" s="4">
        <v>22</v>
      </c>
      <c r="B24" s="5" t="s">
        <v>59</v>
      </c>
      <c r="C24" s="5" t="s">
        <v>4</v>
      </c>
      <c r="D24">
        <f t="shared" si="0"/>
        <v>50.599999999999994</v>
      </c>
      <c r="E24">
        <f t="shared" si="1"/>
        <v>70.599999999999994</v>
      </c>
      <c r="F24" s="12" t="str">
        <f t="shared" si="2"/>
        <v>79</v>
      </c>
    </row>
    <row r="25" spans="1:6" hidden="1" x14ac:dyDescent="0.2">
      <c r="A25" s="6">
        <v>33</v>
      </c>
      <c r="B25" s="7" t="s">
        <v>45</v>
      </c>
      <c r="C25" s="7" t="s">
        <v>11</v>
      </c>
      <c r="D25">
        <f t="shared" si="0"/>
        <v>75.899999999999991</v>
      </c>
      <c r="E25">
        <f t="shared" si="1"/>
        <v>95.899999999999991</v>
      </c>
      <c r="F25" s="12" t="str">
        <f t="shared" si="2"/>
        <v>84</v>
      </c>
    </row>
    <row r="26" spans="1:6" x14ac:dyDescent="0.2">
      <c r="A26" s="4">
        <v>27</v>
      </c>
      <c r="B26" s="5" t="s">
        <v>32</v>
      </c>
      <c r="C26" s="5" t="s">
        <v>4</v>
      </c>
      <c r="D26">
        <f t="shared" si="0"/>
        <v>62.099999999999994</v>
      </c>
      <c r="E26">
        <f t="shared" si="1"/>
        <v>82.1</v>
      </c>
      <c r="F26" s="12" t="str">
        <f t="shared" si="2"/>
        <v>83</v>
      </c>
    </row>
    <row r="27" spans="1:6" hidden="1" x14ac:dyDescent="0.2">
      <c r="A27" s="6">
        <v>21</v>
      </c>
      <c r="B27" s="7" t="s">
        <v>14</v>
      </c>
      <c r="C27" s="7" t="s">
        <v>11</v>
      </c>
      <c r="D27">
        <f t="shared" si="0"/>
        <v>48.3</v>
      </c>
      <c r="E27">
        <f t="shared" si="1"/>
        <v>68.3</v>
      </c>
      <c r="F27" s="12" t="str">
        <f t="shared" si="2"/>
        <v>78</v>
      </c>
    </row>
    <row r="28" spans="1:6" x14ac:dyDescent="0.2">
      <c r="A28" s="4">
        <v>34</v>
      </c>
      <c r="B28" s="5" t="s">
        <v>9</v>
      </c>
      <c r="C28" s="5" t="s">
        <v>4</v>
      </c>
      <c r="D28">
        <f t="shared" si="0"/>
        <v>78.199999999999989</v>
      </c>
      <c r="E28">
        <f t="shared" si="1"/>
        <v>98.199999999999989</v>
      </c>
      <c r="F28" s="12" t="str">
        <f t="shared" si="2"/>
        <v>84</v>
      </c>
    </row>
    <row r="29" spans="1:6" x14ac:dyDescent="0.2">
      <c r="A29" s="6">
        <v>27</v>
      </c>
      <c r="B29" s="7" t="s">
        <v>6</v>
      </c>
      <c r="C29" s="7" t="s">
        <v>4</v>
      </c>
      <c r="D29">
        <f t="shared" si="0"/>
        <v>62.099999999999994</v>
      </c>
      <c r="E29">
        <f t="shared" si="1"/>
        <v>82.1</v>
      </c>
      <c r="F29" s="12" t="str">
        <f t="shared" si="2"/>
        <v>83</v>
      </c>
    </row>
    <row r="30" spans="1:6" x14ac:dyDescent="0.2">
      <c r="A30" s="4">
        <v>16</v>
      </c>
      <c r="B30" s="5" t="s">
        <v>35</v>
      </c>
      <c r="C30" s="5" t="s">
        <v>4</v>
      </c>
      <c r="D30">
        <f t="shared" si="0"/>
        <v>36.799999999999997</v>
      </c>
      <c r="E30">
        <f t="shared" si="1"/>
        <v>56.8</v>
      </c>
      <c r="F30" s="12" t="str">
        <f t="shared" si="2"/>
        <v>60</v>
      </c>
    </row>
    <row r="31" spans="1:6" x14ac:dyDescent="0.2">
      <c r="A31" s="6">
        <v>33</v>
      </c>
      <c r="B31" s="7" t="s">
        <v>21</v>
      </c>
      <c r="C31" s="7" t="s">
        <v>4</v>
      </c>
      <c r="D31">
        <f t="shared" si="0"/>
        <v>75.899999999999991</v>
      </c>
      <c r="E31">
        <f t="shared" si="1"/>
        <v>95.899999999999991</v>
      </c>
      <c r="F31" s="12" t="str">
        <f t="shared" si="2"/>
        <v>84</v>
      </c>
    </row>
    <row r="32" spans="1:6" x14ac:dyDescent="0.2">
      <c r="A32" s="4">
        <v>7</v>
      </c>
      <c r="B32" s="5" t="s">
        <v>60</v>
      </c>
      <c r="C32" s="5" t="s">
        <v>4</v>
      </c>
      <c r="D32">
        <f t="shared" si="0"/>
        <v>16.099999999999998</v>
      </c>
      <c r="E32">
        <f t="shared" si="1"/>
        <v>36.099999999999994</v>
      </c>
      <c r="F32" s="12" t="str">
        <f t="shared" si="2"/>
        <v>60</v>
      </c>
    </row>
    <row r="33" spans="1:6" hidden="1" x14ac:dyDescent="0.2">
      <c r="A33" s="6">
        <v>34</v>
      </c>
      <c r="B33" s="7" t="s">
        <v>40</v>
      </c>
      <c r="C33" s="7" t="s">
        <v>11</v>
      </c>
      <c r="D33">
        <f t="shared" si="0"/>
        <v>78.199999999999989</v>
      </c>
      <c r="E33">
        <f t="shared" si="1"/>
        <v>98.199999999999989</v>
      </c>
      <c r="F33" s="12" t="str">
        <f t="shared" si="2"/>
        <v>84</v>
      </c>
    </row>
    <row r="34" spans="1:6" hidden="1" x14ac:dyDescent="0.2">
      <c r="A34" s="4">
        <v>11</v>
      </c>
      <c r="B34" s="5" t="s">
        <v>61</v>
      </c>
      <c r="C34" s="5" t="s">
        <v>11</v>
      </c>
      <c r="D34">
        <f t="shared" si="0"/>
        <v>25.299999999999997</v>
      </c>
      <c r="E34">
        <f t="shared" si="1"/>
        <v>45.3</v>
      </c>
      <c r="F34" s="12" t="str">
        <f t="shared" si="2"/>
        <v>60</v>
      </c>
    </row>
    <row r="35" spans="1:6" x14ac:dyDescent="0.2">
      <c r="A35" s="6">
        <v>33</v>
      </c>
      <c r="B35" s="7" t="s">
        <v>15</v>
      </c>
      <c r="C35" s="7" t="s">
        <v>4</v>
      </c>
      <c r="D35">
        <f t="shared" si="0"/>
        <v>75.899999999999991</v>
      </c>
      <c r="E35">
        <f t="shared" si="1"/>
        <v>95.899999999999991</v>
      </c>
      <c r="F35" s="12" t="str">
        <f t="shared" si="2"/>
        <v>84</v>
      </c>
    </row>
    <row r="36" spans="1:6" hidden="1" x14ac:dyDescent="0.2">
      <c r="A36" s="4">
        <v>22</v>
      </c>
      <c r="B36" s="5" t="s">
        <v>62</v>
      </c>
      <c r="C36" s="5" t="s">
        <v>11</v>
      </c>
      <c r="D36">
        <f t="shared" si="0"/>
        <v>50.599999999999994</v>
      </c>
      <c r="E36">
        <f t="shared" si="1"/>
        <v>70.599999999999994</v>
      </c>
      <c r="F36" s="12" t="str">
        <f t="shared" si="2"/>
        <v>79</v>
      </c>
    </row>
    <row r="37" spans="1:6" hidden="1" x14ac:dyDescent="0.2">
      <c r="A37" s="6">
        <v>29</v>
      </c>
      <c r="B37" s="7" t="s">
        <v>63</v>
      </c>
      <c r="C37" s="7" t="s">
        <v>11</v>
      </c>
      <c r="D37">
        <f t="shared" si="0"/>
        <v>66.699999999999989</v>
      </c>
      <c r="E37">
        <f t="shared" si="1"/>
        <v>86.699999999999989</v>
      </c>
      <c r="F37" s="12" t="str">
        <f t="shared" si="2"/>
        <v>83</v>
      </c>
    </row>
    <row r="38" spans="1:6" x14ac:dyDescent="0.2">
      <c r="A38" s="4">
        <v>30</v>
      </c>
      <c r="B38" s="5" t="s">
        <v>28</v>
      </c>
      <c r="C38" s="5" t="s">
        <v>4</v>
      </c>
      <c r="D38">
        <f t="shared" si="0"/>
        <v>69</v>
      </c>
      <c r="E38">
        <f t="shared" si="1"/>
        <v>89</v>
      </c>
      <c r="F38" s="12" t="str">
        <f t="shared" si="2"/>
        <v>83</v>
      </c>
    </row>
    <row r="39" spans="1:6" hidden="1" x14ac:dyDescent="0.2">
      <c r="A39" s="6">
        <v>30</v>
      </c>
      <c r="B39" s="7" t="s">
        <v>64</v>
      </c>
      <c r="C39" s="7" t="s">
        <v>11</v>
      </c>
      <c r="D39">
        <f t="shared" si="0"/>
        <v>69</v>
      </c>
      <c r="E39">
        <f t="shared" si="1"/>
        <v>89</v>
      </c>
      <c r="F39" s="12" t="str">
        <f t="shared" si="2"/>
        <v>83</v>
      </c>
    </row>
    <row r="40" spans="1:6" x14ac:dyDescent="0.2">
      <c r="A40" s="4">
        <v>33</v>
      </c>
      <c r="B40" s="5" t="s">
        <v>5</v>
      </c>
      <c r="C40" s="5" t="s">
        <v>4</v>
      </c>
      <c r="D40">
        <f t="shared" si="0"/>
        <v>75.899999999999991</v>
      </c>
      <c r="E40">
        <f t="shared" si="1"/>
        <v>95.899999999999991</v>
      </c>
      <c r="F40" s="12" t="str">
        <f t="shared" si="2"/>
        <v>84</v>
      </c>
    </row>
    <row r="41" spans="1:6" x14ac:dyDescent="0.2">
      <c r="A41" s="6">
        <v>31</v>
      </c>
      <c r="B41" s="7" t="s">
        <v>30</v>
      </c>
      <c r="C41" s="7" t="s">
        <v>4</v>
      </c>
      <c r="D41">
        <f t="shared" si="0"/>
        <v>71.3</v>
      </c>
      <c r="E41">
        <f t="shared" si="1"/>
        <v>91.3</v>
      </c>
      <c r="F41" s="12" t="str">
        <f t="shared" si="2"/>
        <v>84</v>
      </c>
    </row>
    <row r="42" spans="1:6" x14ac:dyDescent="0.2">
      <c r="A42" s="4">
        <v>27</v>
      </c>
      <c r="B42" s="5" t="s">
        <v>65</v>
      </c>
      <c r="C42" s="5" t="s">
        <v>4</v>
      </c>
      <c r="D42">
        <f t="shared" si="0"/>
        <v>62.099999999999994</v>
      </c>
      <c r="E42">
        <f t="shared" si="1"/>
        <v>82.1</v>
      </c>
      <c r="F42" s="12" t="str">
        <f t="shared" si="2"/>
        <v>83</v>
      </c>
    </row>
    <row r="43" spans="1:6" x14ac:dyDescent="0.2">
      <c r="A43" s="6">
        <v>31</v>
      </c>
      <c r="B43" s="7" t="s">
        <v>19</v>
      </c>
      <c r="C43" s="7" t="s">
        <v>4</v>
      </c>
      <c r="D43">
        <f t="shared" si="0"/>
        <v>71.3</v>
      </c>
      <c r="E43">
        <f t="shared" si="1"/>
        <v>91.3</v>
      </c>
      <c r="F43" s="12" t="str">
        <f t="shared" si="2"/>
        <v>84</v>
      </c>
    </row>
    <row r="44" spans="1:6" x14ac:dyDescent="0.2">
      <c r="A44" s="8">
        <v>14</v>
      </c>
      <c r="B44" s="9" t="s">
        <v>20</v>
      </c>
      <c r="C44" s="9" t="s">
        <v>4</v>
      </c>
      <c r="D44">
        <f t="shared" si="0"/>
        <v>32.199999999999996</v>
      </c>
      <c r="E44">
        <f t="shared" si="1"/>
        <v>52.199999999999996</v>
      </c>
      <c r="F44" s="12" t="str">
        <f t="shared" si="2"/>
        <v>60</v>
      </c>
    </row>
  </sheetData>
  <autoFilter ref="A1:F44">
    <filterColumn colId="2">
      <filters>
        <filter val="X RPL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sqref="A1:F2"/>
    </sheetView>
  </sheetViews>
  <sheetFormatPr defaultRowHeight="12.75" x14ac:dyDescent="0.2"/>
  <cols>
    <col min="1" max="1" width="3.7109375" style="22" bestFit="1" customWidth="1"/>
    <col min="2" max="2" width="30.85546875" bestFit="1" customWidth="1"/>
    <col min="3" max="3" width="7.140625" bestFit="1" customWidth="1"/>
    <col min="4" max="4" width="13.7109375" bestFit="1" customWidth="1"/>
    <col min="5" max="5" width="12.140625" bestFit="1" customWidth="1"/>
    <col min="6" max="6" width="11.42578125" bestFit="1" customWidth="1"/>
  </cols>
  <sheetData>
    <row r="1" spans="1:6" x14ac:dyDescent="0.2">
      <c r="A1" s="43" t="s">
        <v>113</v>
      </c>
      <c r="B1" s="43"/>
      <c r="C1" s="43"/>
      <c r="D1" s="43"/>
      <c r="E1" s="43"/>
      <c r="F1" s="43"/>
    </row>
    <row r="2" spans="1:6" x14ac:dyDescent="0.2">
      <c r="A2" s="43"/>
      <c r="B2" s="43"/>
      <c r="C2" s="43"/>
      <c r="D2" s="43"/>
      <c r="E2" s="43"/>
      <c r="F2" s="43"/>
    </row>
    <row r="4" spans="1:6" x14ac:dyDescent="0.2">
      <c r="A4" s="23" t="s">
        <v>110</v>
      </c>
      <c r="B4" s="25" t="s">
        <v>1</v>
      </c>
      <c r="C4" s="25" t="s">
        <v>2</v>
      </c>
      <c r="D4" s="24" t="s">
        <v>111</v>
      </c>
      <c r="E4" s="24" t="s">
        <v>112</v>
      </c>
      <c r="F4" s="24" t="s">
        <v>68</v>
      </c>
    </row>
    <row r="5" spans="1:6" x14ac:dyDescent="0.2">
      <c r="A5" s="21">
        <v>1</v>
      </c>
      <c r="B5" s="17" t="s">
        <v>74</v>
      </c>
      <c r="C5" s="18" t="s">
        <v>11</v>
      </c>
      <c r="D5" s="19">
        <v>46</v>
      </c>
      <c r="E5" s="19">
        <v>66</v>
      </c>
      <c r="F5" s="26" t="s">
        <v>71</v>
      </c>
    </row>
    <row r="6" spans="1:6" x14ac:dyDescent="0.2">
      <c r="A6" s="21">
        <v>2</v>
      </c>
      <c r="B6" s="17" t="s">
        <v>75</v>
      </c>
      <c r="C6" s="18" t="s">
        <v>11</v>
      </c>
      <c r="D6" s="19">
        <v>50.599999999999994</v>
      </c>
      <c r="E6" s="19">
        <v>70.599999999999994</v>
      </c>
      <c r="F6" s="26" t="s">
        <v>70</v>
      </c>
    </row>
    <row r="7" spans="1:6" x14ac:dyDescent="0.2">
      <c r="A7" s="21">
        <v>3</v>
      </c>
      <c r="B7" s="17" t="s">
        <v>76</v>
      </c>
      <c r="C7" s="18" t="s">
        <v>11</v>
      </c>
      <c r="D7" s="19">
        <v>75.899999999999991</v>
      </c>
      <c r="E7" s="19">
        <v>95.899999999999991</v>
      </c>
      <c r="F7" s="20" t="s">
        <v>69</v>
      </c>
    </row>
    <row r="8" spans="1:6" x14ac:dyDescent="0.2">
      <c r="A8" s="21">
        <v>4</v>
      </c>
      <c r="B8" s="17" t="s">
        <v>63</v>
      </c>
      <c r="C8" s="18" t="s">
        <v>11</v>
      </c>
      <c r="D8" s="19">
        <v>66.699999999999989</v>
      </c>
      <c r="E8" s="19">
        <v>86.699999999999989</v>
      </c>
      <c r="F8" s="20" t="s">
        <v>73</v>
      </c>
    </row>
    <row r="9" spans="1:6" x14ac:dyDescent="0.2">
      <c r="A9" s="21">
        <v>5</v>
      </c>
      <c r="B9" s="17" t="s">
        <v>77</v>
      </c>
      <c r="C9" s="18" t="s">
        <v>11</v>
      </c>
      <c r="D9" s="19">
        <v>48.3</v>
      </c>
      <c r="E9" s="19">
        <v>68.3</v>
      </c>
      <c r="F9" s="26" t="s">
        <v>71</v>
      </c>
    </row>
    <row r="10" spans="1:6" x14ac:dyDescent="0.2">
      <c r="A10" s="21">
        <v>6</v>
      </c>
      <c r="B10" s="17" t="s">
        <v>78</v>
      </c>
      <c r="C10" s="18" t="s">
        <v>11</v>
      </c>
      <c r="D10" s="19">
        <v>69</v>
      </c>
      <c r="E10" s="19">
        <v>89</v>
      </c>
      <c r="F10" s="20" t="s">
        <v>73</v>
      </c>
    </row>
    <row r="11" spans="1:6" x14ac:dyDescent="0.2">
      <c r="A11" s="21">
        <v>7</v>
      </c>
      <c r="B11" s="17" t="s">
        <v>79</v>
      </c>
      <c r="C11" s="18" t="s">
        <v>11</v>
      </c>
      <c r="D11" s="19">
        <v>75.899999999999991</v>
      </c>
      <c r="E11" s="19">
        <v>95.899999999999991</v>
      </c>
      <c r="F11" s="20" t="s">
        <v>69</v>
      </c>
    </row>
    <row r="12" spans="1:6" x14ac:dyDescent="0.2">
      <c r="A12" s="21">
        <v>8</v>
      </c>
      <c r="B12" s="17" t="s">
        <v>40</v>
      </c>
      <c r="C12" s="18" t="s">
        <v>11</v>
      </c>
      <c r="D12" s="19">
        <v>78.199999999999989</v>
      </c>
      <c r="E12" s="19">
        <v>98.199999999999989</v>
      </c>
      <c r="F12" s="20" t="s">
        <v>69</v>
      </c>
    </row>
    <row r="13" spans="1:6" x14ac:dyDescent="0.2">
      <c r="A13" s="21">
        <v>9</v>
      </c>
      <c r="B13" s="17" t="s">
        <v>80</v>
      </c>
      <c r="C13" s="18" t="s">
        <v>11</v>
      </c>
      <c r="D13" s="19">
        <v>25.299999999999997</v>
      </c>
      <c r="E13" s="19">
        <v>45.3</v>
      </c>
      <c r="F13" s="26" t="s">
        <v>72</v>
      </c>
    </row>
    <row r="14" spans="1:6" x14ac:dyDescent="0.2">
      <c r="A14" s="21">
        <v>10</v>
      </c>
      <c r="B14" s="17" t="s">
        <v>81</v>
      </c>
      <c r="C14" s="18" t="s">
        <v>11</v>
      </c>
      <c r="D14" s="19">
        <v>52.9</v>
      </c>
      <c r="E14" s="19">
        <v>72.900000000000006</v>
      </c>
      <c r="F14" s="26" t="s">
        <v>70</v>
      </c>
    </row>
  </sheetData>
  <sortState ref="A1:F10">
    <sortCondition ref="B1:B10"/>
  </sortState>
  <mergeCells count="1">
    <mergeCell ref="A1:F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H17" sqref="H17"/>
    </sheetView>
  </sheetViews>
  <sheetFormatPr defaultRowHeight="12.75" x14ac:dyDescent="0.2"/>
  <cols>
    <col min="1" max="1" width="5.85546875" style="16" bestFit="1" customWidth="1"/>
    <col min="2" max="2" width="35.140625" bestFit="1" customWidth="1"/>
    <col min="3" max="3" width="7.140625" bestFit="1" customWidth="1"/>
    <col min="4" max="4" width="13.7109375" bestFit="1" customWidth="1"/>
    <col min="5" max="5" width="12.140625" bestFit="1" customWidth="1"/>
    <col min="6" max="6" width="11.42578125" bestFit="1" customWidth="1"/>
  </cols>
  <sheetData>
    <row r="1" spans="1:6" x14ac:dyDescent="0.2">
      <c r="A1" s="43" t="s">
        <v>113</v>
      </c>
      <c r="B1" s="43"/>
      <c r="C1" s="43"/>
      <c r="D1" s="43"/>
      <c r="E1" s="43"/>
      <c r="F1" s="43"/>
    </row>
    <row r="2" spans="1:6" x14ac:dyDescent="0.2">
      <c r="A2" s="43"/>
      <c r="B2" s="43"/>
      <c r="C2" s="43"/>
      <c r="D2" s="43"/>
      <c r="E2" s="43"/>
      <c r="F2" s="43"/>
    </row>
    <row r="4" spans="1:6" x14ac:dyDescent="0.2">
      <c r="A4" s="23" t="s">
        <v>110</v>
      </c>
      <c r="B4" s="25" t="s">
        <v>1</v>
      </c>
      <c r="C4" s="25" t="s">
        <v>2</v>
      </c>
      <c r="D4" s="24" t="s">
        <v>111</v>
      </c>
      <c r="E4" s="24" t="s">
        <v>112</v>
      </c>
      <c r="F4" s="24" t="s">
        <v>68</v>
      </c>
    </row>
    <row r="5" spans="1:6" x14ac:dyDescent="0.2">
      <c r="A5" s="21">
        <v>1</v>
      </c>
      <c r="B5" s="17" t="s">
        <v>82</v>
      </c>
      <c r="C5" s="27" t="s">
        <v>4</v>
      </c>
      <c r="D5" s="20">
        <v>78.199999999999989</v>
      </c>
      <c r="E5" s="20">
        <v>98.199999999999989</v>
      </c>
      <c r="F5" s="20" t="s">
        <v>69</v>
      </c>
    </row>
    <row r="6" spans="1:6" x14ac:dyDescent="0.2">
      <c r="A6" s="21">
        <v>2</v>
      </c>
      <c r="B6" s="17" t="s">
        <v>83</v>
      </c>
      <c r="C6" s="27" t="s">
        <v>4</v>
      </c>
      <c r="D6" s="20">
        <v>50.599999999999994</v>
      </c>
      <c r="E6" s="20">
        <v>70.599999999999994</v>
      </c>
      <c r="F6" s="26" t="s">
        <v>70</v>
      </c>
    </row>
    <row r="7" spans="1:6" x14ac:dyDescent="0.2">
      <c r="A7" s="21">
        <v>3</v>
      </c>
      <c r="B7" s="17" t="s">
        <v>84</v>
      </c>
      <c r="C7" s="27" t="s">
        <v>4</v>
      </c>
      <c r="D7" s="20">
        <v>73.599999999999994</v>
      </c>
      <c r="E7" s="20">
        <v>93.6</v>
      </c>
      <c r="F7" s="20" t="s">
        <v>69</v>
      </c>
    </row>
    <row r="8" spans="1:6" x14ac:dyDescent="0.2">
      <c r="A8" s="21">
        <v>4</v>
      </c>
      <c r="B8" s="17" t="s">
        <v>85</v>
      </c>
      <c r="C8" s="27" t="s">
        <v>4</v>
      </c>
      <c r="D8" s="20">
        <v>78.199999999999989</v>
      </c>
      <c r="E8" s="20">
        <v>98.199999999999989</v>
      </c>
      <c r="F8" s="20" t="s">
        <v>69</v>
      </c>
    </row>
    <row r="9" spans="1:6" x14ac:dyDescent="0.2">
      <c r="A9" s="21">
        <v>5</v>
      </c>
      <c r="B9" s="17" t="s">
        <v>86</v>
      </c>
      <c r="C9" s="27" t="s">
        <v>4</v>
      </c>
      <c r="D9" s="20">
        <v>59.8</v>
      </c>
      <c r="E9" s="20">
        <v>79.8</v>
      </c>
      <c r="F9" s="20" t="s">
        <v>73</v>
      </c>
    </row>
    <row r="10" spans="1:6" x14ac:dyDescent="0.2">
      <c r="A10" s="21">
        <v>6</v>
      </c>
      <c r="B10" s="17" t="s">
        <v>87</v>
      </c>
      <c r="C10" s="27" t="s">
        <v>4</v>
      </c>
      <c r="D10" s="20">
        <v>78.199999999999989</v>
      </c>
      <c r="E10" s="20">
        <v>98.199999999999989</v>
      </c>
      <c r="F10" s="20" t="s">
        <v>69</v>
      </c>
    </row>
    <row r="11" spans="1:6" x14ac:dyDescent="0.2">
      <c r="A11" s="21">
        <v>7</v>
      </c>
      <c r="B11" s="17" t="s">
        <v>88</v>
      </c>
      <c r="C11" s="27" t="s">
        <v>4</v>
      </c>
      <c r="D11" s="20">
        <v>71.3</v>
      </c>
      <c r="E11" s="20">
        <v>91.3</v>
      </c>
      <c r="F11" s="20" t="s">
        <v>69</v>
      </c>
    </row>
    <row r="12" spans="1:6" x14ac:dyDescent="0.2">
      <c r="A12" s="21">
        <v>8</v>
      </c>
      <c r="B12" s="17" t="s">
        <v>89</v>
      </c>
      <c r="C12" s="27" t="s">
        <v>4</v>
      </c>
      <c r="D12" s="20">
        <v>2.2999999999999998</v>
      </c>
      <c r="E12" s="20">
        <v>22.3</v>
      </c>
      <c r="F12" s="26" t="s">
        <v>72</v>
      </c>
    </row>
    <row r="13" spans="1:6" x14ac:dyDescent="0.2">
      <c r="A13" s="21">
        <v>9</v>
      </c>
      <c r="B13" s="17" t="s">
        <v>90</v>
      </c>
      <c r="C13" s="27" t="s">
        <v>4</v>
      </c>
      <c r="D13" s="20">
        <v>46</v>
      </c>
      <c r="E13" s="20">
        <v>66</v>
      </c>
      <c r="F13" s="26" t="s">
        <v>71</v>
      </c>
    </row>
    <row r="14" spans="1:6" x14ac:dyDescent="0.2">
      <c r="A14" s="21">
        <v>10</v>
      </c>
      <c r="B14" s="17" t="s">
        <v>91</v>
      </c>
      <c r="C14" s="27" t="s">
        <v>4</v>
      </c>
      <c r="D14" s="20">
        <v>78.199999999999989</v>
      </c>
      <c r="E14" s="20">
        <v>98.199999999999989</v>
      </c>
      <c r="F14" s="20" t="s">
        <v>69</v>
      </c>
    </row>
    <row r="15" spans="1:6" x14ac:dyDescent="0.2">
      <c r="A15" s="21">
        <v>11</v>
      </c>
      <c r="B15" s="17" t="s">
        <v>92</v>
      </c>
      <c r="C15" s="27" t="s">
        <v>4</v>
      </c>
      <c r="D15" s="20">
        <v>75.899999999999991</v>
      </c>
      <c r="E15" s="20">
        <v>95.899999999999991</v>
      </c>
      <c r="F15" s="20" t="s">
        <v>69</v>
      </c>
    </row>
    <row r="16" spans="1:6" x14ac:dyDescent="0.2">
      <c r="A16" s="21">
        <v>12</v>
      </c>
      <c r="B16" s="17" t="s">
        <v>93</v>
      </c>
      <c r="C16" s="27" t="s">
        <v>4</v>
      </c>
      <c r="D16" s="20">
        <v>48.3</v>
      </c>
      <c r="E16" s="20">
        <v>68.3</v>
      </c>
      <c r="F16" s="26" t="s">
        <v>71</v>
      </c>
    </row>
    <row r="17" spans="1:6" x14ac:dyDescent="0.2">
      <c r="A17" s="21">
        <v>13</v>
      </c>
      <c r="B17" s="17" t="s">
        <v>32</v>
      </c>
      <c r="C17" s="27" t="s">
        <v>4</v>
      </c>
      <c r="D17" s="20">
        <v>62.099999999999994</v>
      </c>
      <c r="E17" s="20">
        <v>82.1</v>
      </c>
      <c r="F17" s="20" t="s">
        <v>73</v>
      </c>
    </row>
    <row r="18" spans="1:6" x14ac:dyDescent="0.2">
      <c r="A18" s="21">
        <v>14</v>
      </c>
      <c r="B18" s="17" t="s">
        <v>94</v>
      </c>
      <c r="C18" s="27" t="s">
        <v>4</v>
      </c>
      <c r="D18" s="20">
        <v>69</v>
      </c>
      <c r="E18" s="20">
        <v>89</v>
      </c>
      <c r="F18" s="20" t="s">
        <v>73</v>
      </c>
    </row>
    <row r="19" spans="1:6" x14ac:dyDescent="0.2">
      <c r="A19" s="21">
        <v>15</v>
      </c>
      <c r="B19" s="17" t="s">
        <v>95</v>
      </c>
      <c r="C19" s="27" t="s">
        <v>4</v>
      </c>
      <c r="D19" s="20">
        <v>50.599999999999994</v>
      </c>
      <c r="E19" s="20">
        <v>70.599999999999994</v>
      </c>
      <c r="F19" s="26" t="s">
        <v>70</v>
      </c>
    </row>
    <row r="20" spans="1:6" x14ac:dyDescent="0.2">
      <c r="A20" s="21">
        <v>16</v>
      </c>
      <c r="B20" s="17" t="s">
        <v>96</v>
      </c>
      <c r="C20" s="27" t="s">
        <v>4</v>
      </c>
      <c r="D20" s="20">
        <v>71.3</v>
      </c>
      <c r="E20" s="20">
        <v>91.3</v>
      </c>
      <c r="F20" s="20" t="s">
        <v>69</v>
      </c>
    </row>
    <row r="21" spans="1:6" x14ac:dyDescent="0.2">
      <c r="A21" s="21">
        <v>17</v>
      </c>
      <c r="B21" s="17" t="s">
        <v>21</v>
      </c>
      <c r="C21" s="27" t="s">
        <v>4</v>
      </c>
      <c r="D21" s="20">
        <v>75.899999999999991</v>
      </c>
      <c r="E21" s="20">
        <v>95.899999999999991</v>
      </c>
      <c r="F21" s="20" t="s">
        <v>69</v>
      </c>
    </row>
    <row r="22" spans="1:6" x14ac:dyDescent="0.2">
      <c r="A22" s="21">
        <v>18</v>
      </c>
      <c r="B22" s="17" t="s">
        <v>97</v>
      </c>
      <c r="C22" s="27" t="s">
        <v>4</v>
      </c>
      <c r="D22" s="20">
        <v>34.5</v>
      </c>
      <c r="E22" s="20">
        <v>54.5</v>
      </c>
      <c r="F22" s="26" t="s">
        <v>72</v>
      </c>
    </row>
    <row r="23" spans="1:6" x14ac:dyDescent="0.2">
      <c r="A23" s="21">
        <v>19</v>
      </c>
      <c r="B23" s="17" t="s">
        <v>55</v>
      </c>
      <c r="C23" s="27" t="s">
        <v>4</v>
      </c>
      <c r="D23" s="20">
        <v>73.599999999999994</v>
      </c>
      <c r="E23" s="20">
        <v>93.6</v>
      </c>
      <c r="F23" s="20" t="s">
        <v>69</v>
      </c>
    </row>
    <row r="24" spans="1:6" x14ac:dyDescent="0.2">
      <c r="A24" s="21">
        <v>20</v>
      </c>
      <c r="B24" s="17" t="s">
        <v>42</v>
      </c>
      <c r="C24" s="27" t="s">
        <v>4</v>
      </c>
      <c r="D24" s="20">
        <v>27.599999999999998</v>
      </c>
      <c r="E24" s="20">
        <v>47.599999999999994</v>
      </c>
      <c r="F24" s="26" t="s">
        <v>72</v>
      </c>
    </row>
    <row r="25" spans="1:6" x14ac:dyDescent="0.2">
      <c r="A25" s="21">
        <v>21</v>
      </c>
      <c r="B25" s="17" t="s">
        <v>7</v>
      </c>
      <c r="C25" s="27" t="s">
        <v>4</v>
      </c>
      <c r="D25" s="20">
        <v>62.099999999999994</v>
      </c>
      <c r="E25" s="20">
        <v>82.1</v>
      </c>
      <c r="F25" s="20" t="s">
        <v>73</v>
      </c>
    </row>
    <row r="26" spans="1:6" x14ac:dyDescent="0.2">
      <c r="A26" s="21">
        <v>22</v>
      </c>
      <c r="B26" s="17" t="s">
        <v>98</v>
      </c>
      <c r="C26" s="27" t="s">
        <v>4</v>
      </c>
      <c r="D26" s="20">
        <v>62.099999999999994</v>
      </c>
      <c r="E26" s="20">
        <v>82.1</v>
      </c>
      <c r="F26" s="20" t="s">
        <v>73</v>
      </c>
    </row>
    <row r="27" spans="1:6" x14ac:dyDescent="0.2">
      <c r="A27" s="21">
        <v>23</v>
      </c>
      <c r="B27" s="17" t="s">
        <v>99</v>
      </c>
      <c r="C27" s="27" t="s">
        <v>4</v>
      </c>
      <c r="D27" s="20">
        <v>32.199999999999996</v>
      </c>
      <c r="E27" s="20">
        <v>52.199999999999996</v>
      </c>
      <c r="F27" s="26" t="s">
        <v>72</v>
      </c>
    </row>
    <row r="28" spans="1:6" x14ac:dyDescent="0.2">
      <c r="A28" s="21">
        <v>24</v>
      </c>
      <c r="B28" s="17" t="s">
        <v>100</v>
      </c>
      <c r="C28" s="27" t="s">
        <v>4</v>
      </c>
      <c r="D28" s="20">
        <v>36.799999999999997</v>
      </c>
      <c r="E28" s="20">
        <v>56.8</v>
      </c>
      <c r="F28" s="26" t="s">
        <v>72</v>
      </c>
    </row>
    <row r="29" spans="1:6" x14ac:dyDescent="0.2">
      <c r="A29" s="21">
        <v>25</v>
      </c>
      <c r="B29" s="17" t="s">
        <v>101</v>
      </c>
      <c r="C29" s="27" t="s">
        <v>4</v>
      </c>
      <c r="D29" s="20">
        <v>62.099999999999994</v>
      </c>
      <c r="E29" s="20">
        <v>82.1</v>
      </c>
      <c r="F29" s="20" t="s">
        <v>73</v>
      </c>
    </row>
    <row r="30" spans="1:6" x14ac:dyDescent="0.2">
      <c r="A30" s="21">
        <v>26</v>
      </c>
      <c r="B30" s="17" t="s">
        <v>102</v>
      </c>
      <c r="C30" s="27" t="s">
        <v>4</v>
      </c>
      <c r="D30" s="20">
        <v>75.899999999999991</v>
      </c>
      <c r="E30" s="20">
        <v>95.899999999999991</v>
      </c>
      <c r="F30" s="20" t="s">
        <v>69</v>
      </c>
    </row>
    <row r="31" spans="1:6" x14ac:dyDescent="0.2">
      <c r="A31" s="21">
        <v>27</v>
      </c>
      <c r="B31" s="17" t="s">
        <v>103</v>
      </c>
      <c r="C31" s="27" t="s">
        <v>4</v>
      </c>
      <c r="D31" s="20">
        <v>16.099999999999998</v>
      </c>
      <c r="E31" s="20">
        <v>36.099999999999994</v>
      </c>
      <c r="F31" s="26" t="s">
        <v>72</v>
      </c>
    </row>
    <row r="32" spans="1:6" x14ac:dyDescent="0.2">
      <c r="A32" s="21">
        <v>28</v>
      </c>
      <c r="B32" s="17" t="s">
        <v>104</v>
      </c>
      <c r="C32" s="27" t="s">
        <v>4</v>
      </c>
      <c r="D32" s="20">
        <v>66.699999999999989</v>
      </c>
      <c r="E32" s="20">
        <v>86.699999999999989</v>
      </c>
      <c r="F32" s="20" t="s">
        <v>73</v>
      </c>
    </row>
    <row r="33" spans="1:6" x14ac:dyDescent="0.2">
      <c r="A33" s="21">
        <v>29</v>
      </c>
      <c r="B33" s="17" t="s">
        <v>105</v>
      </c>
      <c r="C33" s="27" t="s">
        <v>4</v>
      </c>
      <c r="D33" s="20">
        <v>80.5</v>
      </c>
      <c r="E33" s="20">
        <v>100.5</v>
      </c>
      <c r="F33" s="20" t="s">
        <v>69</v>
      </c>
    </row>
    <row r="34" spans="1:6" x14ac:dyDescent="0.2">
      <c r="A34" s="21">
        <v>30</v>
      </c>
      <c r="B34" s="17" t="s">
        <v>106</v>
      </c>
      <c r="C34" s="27" t="s">
        <v>4</v>
      </c>
      <c r="D34" s="20">
        <v>75.899999999999991</v>
      </c>
      <c r="E34" s="20">
        <v>95.899999999999991</v>
      </c>
      <c r="F34" s="20" t="s">
        <v>69</v>
      </c>
    </row>
    <row r="35" spans="1:6" x14ac:dyDescent="0.2">
      <c r="A35" s="21">
        <v>31</v>
      </c>
      <c r="B35" s="17" t="s">
        <v>107</v>
      </c>
      <c r="C35" s="27" t="s">
        <v>4</v>
      </c>
      <c r="D35" s="20">
        <v>73.599999999999994</v>
      </c>
      <c r="E35" s="20">
        <v>93.6</v>
      </c>
      <c r="F35" s="20" t="s">
        <v>69</v>
      </c>
    </row>
    <row r="36" spans="1:6" x14ac:dyDescent="0.2">
      <c r="A36" s="21">
        <v>32</v>
      </c>
      <c r="B36" s="17" t="s">
        <v>108</v>
      </c>
      <c r="C36" s="27" t="s">
        <v>4</v>
      </c>
      <c r="D36" s="20">
        <v>69</v>
      </c>
      <c r="E36" s="20">
        <v>89</v>
      </c>
      <c r="F36" s="20" t="s">
        <v>73</v>
      </c>
    </row>
    <row r="37" spans="1:6" x14ac:dyDescent="0.2">
      <c r="A37" s="21">
        <v>33</v>
      </c>
      <c r="B37" s="17" t="s">
        <v>109</v>
      </c>
      <c r="C37" s="27" t="s">
        <v>4</v>
      </c>
      <c r="D37" s="20">
        <v>66.699999999999989</v>
      </c>
      <c r="E37" s="20">
        <v>86.699999999999989</v>
      </c>
      <c r="F37" s="20" t="s">
        <v>73</v>
      </c>
    </row>
  </sheetData>
  <sortState ref="A3:F34">
    <sortCondition ref="B2:B34"/>
  </sortState>
  <mergeCells count="1">
    <mergeCell ref="A1:F2"/>
  </mergeCells>
  <conditionalFormatting sqref="B5:B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PTS</vt:lpstr>
      <vt:lpstr>PTSRPL</vt:lpstr>
      <vt:lpstr>PTSACP</vt:lpstr>
      <vt:lpstr>PSAT</vt:lpstr>
      <vt:lpstr>PSATACP</vt:lpstr>
      <vt:lpstr>PSATRPL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Asep Sukandar</cp:lastModifiedBy>
  <dcterms:modified xsi:type="dcterms:W3CDTF">2025-06-04T07:36:56Z</dcterms:modified>
</cp:coreProperties>
</file>
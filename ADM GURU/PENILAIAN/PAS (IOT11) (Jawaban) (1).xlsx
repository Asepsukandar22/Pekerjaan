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eps\Downloads\"/>
    </mc:Choice>
  </mc:AlternateContent>
  <bookViews>
    <workbookView xWindow="0" yWindow="0" windowWidth="16815" windowHeight="7740" activeTab="1"/>
  </bookViews>
  <sheets>
    <sheet name="Form Responses 1" sheetId="1" r:id="rId1"/>
    <sheet name="ACP" sheetId="2" r:id="rId2"/>
    <sheet name="RPL" sheetId="3" r:id="rId3"/>
  </sheets>
  <calcPr calcId="152511"/>
</workbook>
</file>

<file path=xl/calcChain.xml><?xml version="1.0" encoding="utf-8"?>
<calcChain xmlns="http://schemas.openxmlformats.org/spreadsheetml/2006/main">
  <c r="F34" i="1" l="1"/>
  <c r="G34" i="1" s="1"/>
  <c r="H34" i="1" s="1"/>
  <c r="F28" i="1"/>
  <c r="G28" i="1" s="1"/>
  <c r="H28" i="1" s="1"/>
  <c r="F25" i="1"/>
  <c r="G25" i="1" s="1"/>
  <c r="H25" i="1" s="1"/>
  <c r="F40" i="1"/>
  <c r="G40" i="1" s="1"/>
  <c r="H40" i="1" s="1"/>
  <c r="F4" i="1"/>
  <c r="G4" i="1" s="1"/>
  <c r="H4" i="1" s="1"/>
  <c r="F10" i="1"/>
  <c r="G10" i="1" s="1"/>
  <c r="H10" i="1" s="1"/>
  <c r="F11" i="1"/>
  <c r="G11" i="1" s="1"/>
  <c r="H11" i="1" s="1"/>
  <c r="F8" i="1"/>
  <c r="G8" i="1" s="1"/>
  <c r="H8" i="1" s="1"/>
  <c r="F7" i="1"/>
  <c r="G7" i="1" s="1"/>
  <c r="H7" i="1" s="1"/>
  <c r="F20" i="1"/>
  <c r="G20" i="1" s="1"/>
  <c r="H20" i="1" s="1"/>
  <c r="F15" i="1"/>
  <c r="G15" i="1" s="1"/>
  <c r="H15" i="1" s="1"/>
  <c r="F12" i="1"/>
  <c r="G12" i="1" s="1"/>
  <c r="H12" i="1" s="1"/>
  <c r="F19" i="1"/>
  <c r="G19" i="1" s="1"/>
  <c r="H19" i="1" s="1"/>
  <c r="F18" i="1"/>
  <c r="G18" i="1" s="1"/>
  <c r="H18" i="1" s="1"/>
  <c r="F35" i="1"/>
  <c r="G35" i="1" s="1"/>
  <c r="H35" i="1" s="1"/>
  <c r="F16" i="1"/>
  <c r="G16" i="1" s="1"/>
  <c r="H16" i="1" s="1"/>
  <c r="F21" i="1"/>
  <c r="G21" i="1" s="1"/>
  <c r="H21" i="1" s="1"/>
  <c r="F14" i="1"/>
  <c r="G14" i="1" s="1"/>
  <c r="H14" i="1" s="1"/>
  <c r="F30" i="1"/>
  <c r="G30" i="1" s="1"/>
  <c r="H30" i="1" s="1"/>
  <c r="F6" i="1"/>
  <c r="G6" i="1" s="1"/>
  <c r="H6" i="1" s="1"/>
  <c r="F36" i="1"/>
  <c r="G36" i="1" s="1"/>
  <c r="H36" i="1" s="1"/>
  <c r="F43" i="1"/>
  <c r="G43" i="1" s="1"/>
  <c r="H43" i="1" s="1"/>
  <c r="F2" i="1"/>
  <c r="G2" i="1" s="1"/>
  <c r="H2" i="1" s="1"/>
  <c r="F42" i="1"/>
  <c r="G42" i="1" s="1"/>
  <c r="H42" i="1" s="1"/>
  <c r="F29" i="1"/>
  <c r="G29" i="1" s="1"/>
  <c r="H29" i="1" s="1"/>
  <c r="F5" i="1"/>
  <c r="G5" i="1" s="1"/>
  <c r="H5" i="1" s="1"/>
  <c r="F23" i="1"/>
  <c r="G23" i="1" s="1"/>
  <c r="H23" i="1" s="1"/>
  <c r="F38" i="1"/>
  <c r="G38" i="1" s="1"/>
  <c r="H38" i="1" s="1"/>
  <c r="F39" i="1"/>
  <c r="G39" i="1" s="1"/>
  <c r="H39" i="1" s="1"/>
  <c r="F17" i="1"/>
  <c r="G17" i="1" s="1"/>
  <c r="H17" i="1" s="1"/>
  <c r="F44" i="1"/>
  <c r="G44" i="1" s="1"/>
  <c r="H44" i="1" s="1"/>
  <c r="F37" i="1"/>
  <c r="G37" i="1" s="1"/>
  <c r="H37" i="1" s="1"/>
  <c r="F3" i="1"/>
  <c r="G3" i="1" s="1"/>
  <c r="H3" i="1" s="1"/>
  <c r="F41" i="1"/>
  <c r="G41" i="1" s="1"/>
  <c r="H41" i="1" s="1"/>
  <c r="F26" i="1"/>
  <c r="G26" i="1" s="1"/>
  <c r="H26" i="1" s="1"/>
  <c r="F33" i="1"/>
  <c r="G33" i="1" s="1"/>
  <c r="H33" i="1" s="1"/>
  <c r="F47" i="1"/>
  <c r="G47" i="1" s="1"/>
  <c r="H47" i="1" s="1"/>
  <c r="F45" i="1"/>
  <c r="G45" i="1" s="1"/>
  <c r="H45" i="1" s="1"/>
  <c r="F13" i="1"/>
  <c r="G13" i="1" s="1"/>
  <c r="H13" i="1" s="1"/>
  <c r="F9" i="1"/>
  <c r="G9" i="1" s="1"/>
  <c r="H9" i="1" s="1"/>
  <c r="F27" i="1"/>
  <c r="G27" i="1" s="1"/>
  <c r="H27" i="1" s="1"/>
  <c r="F24" i="1"/>
  <c r="G24" i="1" s="1"/>
  <c r="H24" i="1" s="1"/>
  <c r="F46" i="1"/>
  <c r="G46" i="1" s="1"/>
  <c r="H46" i="1" s="1"/>
  <c r="F32" i="1"/>
  <c r="G32" i="1" s="1"/>
  <c r="H32" i="1" s="1"/>
  <c r="F22" i="1"/>
  <c r="G22" i="1" s="1"/>
  <c r="H22" i="1" s="1"/>
</calcChain>
</file>

<file path=xl/sharedStrings.xml><?xml version="1.0" encoding="utf-8"?>
<sst xmlns="http://schemas.openxmlformats.org/spreadsheetml/2006/main" count="339" uniqueCount="70">
  <si>
    <t>NAMA</t>
  </si>
  <si>
    <t>KELAS</t>
  </si>
  <si>
    <t>XI RPL</t>
  </si>
  <si>
    <t>IOTBISA</t>
  </si>
  <si>
    <t>XI ACP</t>
  </si>
  <si>
    <t xml:space="preserve">ADITYA PUTRA NURAHMAN </t>
  </si>
  <si>
    <t xml:space="preserve">HERMAWAN ANGGARA </t>
  </si>
  <si>
    <t>DODI ARIL FAUZI</t>
  </si>
  <si>
    <t xml:space="preserve">RAMDAN ALWIANSYAH </t>
  </si>
  <si>
    <t>AGUNAWAN</t>
  </si>
  <si>
    <t>KURNIASANDI AUNURRAFIQ</t>
  </si>
  <si>
    <t>ARABI RUDINATA</t>
  </si>
  <si>
    <t>ALGAM RISGI SUGIRMAN</t>
  </si>
  <si>
    <t>RATU CHIKA SRI ASTUTI</t>
  </si>
  <si>
    <t>ABDUL HAKIM</t>
  </si>
  <si>
    <t>NILAI PG</t>
  </si>
  <si>
    <t>NILAI ESSAY</t>
  </si>
  <si>
    <t>NILAI AKHIR</t>
  </si>
  <si>
    <t>ADRIAN BAGUS RAMADANI</t>
  </si>
  <si>
    <t>RAYSAD RADANA</t>
  </si>
  <si>
    <t xml:space="preserve">SITI HASANAH </t>
  </si>
  <si>
    <t xml:space="preserve">WAHID DICKY NUGROHO </t>
  </si>
  <si>
    <t>REY GUSTIAWAN</t>
  </si>
  <si>
    <t xml:space="preserve">FAUZAN SYA'BAN NUR ISLAM </t>
  </si>
  <si>
    <t xml:space="preserve">CIKAL PUTRA SUBRANI </t>
  </si>
  <si>
    <t xml:space="preserve">NAILA NAZWA LATIFA </t>
  </si>
  <si>
    <t>ERLANGGA WIRADINATA</t>
  </si>
  <si>
    <t xml:space="preserve">IKHSAN ALFANDI PRATAMA </t>
  </si>
  <si>
    <t>SURYANA</t>
  </si>
  <si>
    <t>ASTRI LIANTI</t>
  </si>
  <si>
    <t>EKI APRIANSYAH</t>
  </si>
  <si>
    <t xml:space="preserve">AURA PUTRI RAMADANI </t>
  </si>
  <si>
    <t xml:space="preserve">NYAI INDAH LESTARI </t>
  </si>
  <si>
    <t>SATRIA NUGRAHA</t>
  </si>
  <si>
    <t>VIRZY PRATAMA</t>
  </si>
  <si>
    <t xml:space="preserve">ALMA DEFAULIA MAHARANI </t>
  </si>
  <si>
    <t xml:space="preserve">MIRNA SULASTRI </t>
  </si>
  <si>
    <t>JANNATA TSAMANIYA ARSYISTAWAA</t>
  </si>
  <si>
    <t xml:space="preserve">KAMILANIYA TSAQILA </t>
  </si>
  <si>
    <t>SAHILMI</t>
  </si>
  <si>
    <t>RAKA LEANER YACOB BOOM</t>
  </si>
  <si>
    <t xml:space="preserve">MOCH VIRAS AL-GHAZALI </t>
  </si>
  <si>
    <t xml:space="preserve">ARDIANSYAH </t>
  </si>
  <si>
    <t>ALI AKBAR NURSUBHKI</t>
  </si>
  <si>
    <t>ERWIN SUHERWAN</t>
  </si>
  <si>
    <t xml:space="preserve">MUHAMAD SIDIK </t>
  </si>
  <si>
    <t xml:space="preserve">AGIL AL FAUZI </t>
  </si>
  <si>
    <t>REHAN RAMADAN</t>
  </si>
  <si>
    <t>RESTA SEPTIANI</t>
  </si>
  <si>
    <t xml:space="preserve">RIAN SAPUTRA </t>
  </si>
  <si>
    <t>M.RIZKI ANDIKA</t>
  </si>
  <si>
    <t>KIREINA NAZRILLA IRAWAN</t>
  </si>
  <si>
    <t>NISWAH KNA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</si>
  <si>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</si>
  <si>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</si>
  <si>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</si>
  <si>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</si>
  <si>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</si>
  <si>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</si>
  <si>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</si>
  <si>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</si>
  <si>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84</t>
  </si>
  <si>
    <t>83</t>
  </si>
  <si>
    <t>79</t>
  </si>
  <si>
    <t>NO</t>
  </si>
  <si>
    <t>60</t>
  </si>
  <si>
    <t>78</t>
  </si>
  <si>
    <t>MAPEL</t>
  </si>
  <si>
    <t>IOT</t>
  </si>
  <si>
    <t>NILAI PSAT TP.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</si>
</sst>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yy\ h:mm:ss"/>
    <numFmt numFmtId="166" formatCode="0&quot; / 40&quot;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4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medium">
        <color rgb="FFF8F9FA"/>
      </left>
      <right style="medium">
        <color rgb="FFF8F9FA"/>
      </right>
      <top/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8F9FA"/>
      </left>
      <right style="medium">
        <color rgb="FFF8F9FA"/>
      </right>
      <top/>
      <bottom style="medium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164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6" fontId="1" fillId="0" borderId="2" xfId="0" applyNumberFormat="1" applyFont="1" applyBorder="1" applyAlignment="1">
      <alignment vertical="center"/>
    </xf>
    <xf numFmtId="166" fontId="1" fillId="0" borderId="4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66" fontId="1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0" fontId="0" fillId="0" borderId="0" xfId="0" applyFont="1" applyAlignment="1">
      <alignment horizontal="center"/>
    </xf>
    <xf numFmtId="0" fontId="2" fillId="5" borderId="8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0" fillId="0" borderId="10" xfId="0" applyFont="1" applyBorder="1" applyAlignment="1">
      <alignment horizontal="center"/>
    </xf>
    <xf numFmtId="0" fontId="2" fillId="4" borderId="10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/>
    </xf>
    <xf numFmtId="0" fontId="2" fillId="5" borderId="10" xfId="0" applyFont="1" applyFill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Form_Responses1" displayName="Form_Responses1" ref="A1:H47">
  <autoFilter ref="A1:H47">
    <filterColumn colId="3">
      <filters>
        <filter val="XI RPL"/>
      </filters>
    </filterColumn>
  </autoFilter>
  <sortState ref="A2:H48">
    <sortCondition ref="C2:C48"/>
  </sortState>
  <tableColumns count="8">
    <tableColumn id="1" name="Column1"/>
    <tableColumn id="2" name="Column2"/>
    <tableColumn id="3" name="Column3"/>
    <tableColumn id="4" name="Column4"/>
    <tableColumn id="5" name="Column5"/>
    <tableColumn id="6" name="Column6" dataDxfId="2">
      <calculatedColumnFormula>B2*2.3</calculatedColumnFormula>
    </tableColumn>
    <tableColumn id="7" name="Column7" dataDxfId="1">
      <calculatedColumnFormula>F2+20</calculatedColumnFormula>
    </tableColumn>
    <tableColumn id="8" name="Column8" dataDxfId="0">
      <calculatedColumnFormula>IF(G2&gt;89,"84",IF(G2&gt;79,"83",IF(G2&gt;69,"79",IF(G2&gt;59,"78","60"))))</calculatedColumnFormula>
    </tableColumn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7"/>
  <sheetViews>
    <sheetView workbookViewId="0">
      <pane ySplit="1" topLeftCell="A6" activePane="bottomLeft" state="frozen"/>
      <selection pane="bottomLeft" activeCell="C2" sqref="C2:H46"/>
    </sheetView>
  </sheetViews>
  <sheetFormatPr defaultColWidth="12.5703125" defaultRowHeight="15.75" customHeight="1" x14ac:dyDescent="0.2"/>
  <cols>
    <col min="1" max="2" width="18.85546875" customWidth="1"/>
    <col min="3" max="3" width="35.5703125" bestFit="1" customWidth="1"/>
    <col min="4" max="4" width="18.85546875" customWidth="1"/>
    <col min="5" max="5" width="8.140625" bestFit="1" customWidth="1"/>
    <col min="6" max="6" width="8.5703125" bestFit="1" customWidth="1"/>
  </cols>
  <sheetData>
    <row r="1" spans="1:8" ht="12.75" x14ac:dyDescent="0.2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ht="13.5" thickBot="1" x14ac:dyDescent="0.25">
      <c r="A2" s="3">
        <v>45810.528667268518</v>
      </c>
      <c r="B2" s="5">
        <v>31</v>
      </c>
      <c r="C2" s="14" t="s">
        <v>14</v>
      </c>
      <c r="D2" s="4" t="s">
        <v>2</v>
      </c>
      <c r="E2" s="4" t="s">
        <v>3</v>
      </c>
      <c r="F2" s="13">
        <f>B2*2.3</f>
        <v>71.3</v>
      </c>
      <c r="G2" s="13">
        <f>F2+20</f>
        <v>91.3</v>
      </c>
      <c r="H2" s="13" t="str">
        <f>IF(G2&gt;89,"84",IF(G2&gt;79,"83",IF(G2&gt;69,"79",IF(G2&gt;59,"78","60"))))</f>
        <v>84</v>
      </c>
    </row>
    <row r="3" spans="1:8" ht="13.5" thickBot="1" x14ac:dyDescent="0.25">
      <c r="A3" s="1">
        <v>45810.532800868052</v>
      </c>
      <c r="B3" s="6">
        <v>30</v>
      </c>
      <c r="C3" s="10" t="s">
        <v>5</v>
      </c>
      <c r="D3" s="2" t="s">
        <v>2</v>
      </c>
      <c r="E3" s="2" t="s">
        <v>3</v>
      </c>
      <c r="F3" s="13">
        <f>B3*2.3</f>
        <v>69</v>
      </c>
      <c r="G3" s="13">
        <f>F3+20</f>
        <v>89</v>
      </c>
      <c r="H3" s="13" t="str">
        <f>IF(G3&gt;89,"84",IF(G3&gt;79,"83",IF(G3&gt;69,"79",IF(G3&gt;59,"78","60"))))</f>
        <v>83</v>
      </c>
    </row>
    <row r="4" spans="1:8" ht="13.5" thickBot="1" x14ac:dyDescent="0.25">
      <c r="A4" s="3">
        <v>45810.517182581018</v>
      </c>
      <c r="B4" s="5">
        <v>7</v>
      </c>
      <c r="C4" s="11" t="s">
        <v>18</v>
      </c>
      <c r="D4" s="4" t="s">
        <v>2</v>
      </c>
      <c r="E4" s="4" t="s">
        <v>3</v>
      </c>
      <c r="F4" s="13">
        <f>B4*2.3</f>
        <v>16.099999999999998</v>
      </c>
      <c r="G4" s="13">
        <f>F4+20</f>
        <v>36.099999999999994</v>
      </c>
      <c r="H4" s="13" t="str">
        <f>IF(G4&gt;89,"84",IF(G4&gt;79,"83",IF(G4&gt;69,"79",IF(G4&gt;59,"78","60"))))</f>
        <v>60</v>
      </c>
    </row>
    <row r="5" spans="1:8" ht="13.5" thickBot="1" x14ac:dyDescent="0.25">
      <c r="A5" s="1">
        <v>45810.530366932871</v>
      </c>
      <c r="B5" s="6">
        <v>31</v>
      </c>
      <c r="C5" s="15" t="s">
        <v>46</v>
      </c>
      <c r="D5" s="2" t="s">
        <v>2</v>
      </c>
      <c r="E5" s="2" t="s">
        <v>3</v>
      </c>
      <c r="F5" s="13">
        <f>B5*2.3</f>
        <v>71.3</v>
      </c>
      <c r="G5" s="13">
        <f>F5+20</f>
        <v>91.3</v>
      </c>
      <c r="H5" s="13" t="str">
        <f>IF(G5&gt;89,"84",IF(G5&gt;79,"83",IF(G5&gt;69,"79",IF(G5&gt;59,"78","60"))))</f>
        <v>84</v>
      </c>
    </row>
    <row r="6" spans="1:8" ht="13.5" thickBot="1" x14ac:dyDescent="0.25">
      <c r="A6" s="3">
        <v>45810.526525567126</v>
      </c>
      <c r="B6" s="5">
        <v>34</v>
      </c>
      <c r="C6" s="11" t="s">
        <v>9</v>
      </c>
      <c r="D6" s="4" t="s">
        <v>2</v>
      </c>
      <c r="E6" s="4" t="s">
        <v>3</v>
      </c>
      <c r="F6" s="13">
        <f>B6*2.3</f>
        <v>78.199999999999989</v>
      </c>
      <c r="G6" s="13">
        <f>F6+20</f>
        <v>98.199999999999989</v>
      </c>
      <c r="H6" s="13" t="str">
        <f>IF(G6&gt;89,"84",IF(G6&gt;79,"83",IF(G6&gt;69,"79",IF(G6&gt;59,"78","60"))))</f>
        <v>84</v>
      </c>
    </row>
    <row r="7" spans="1:8" ht="13.5" hidden="1" thickBot="1" x14ac:dyDescent="0.25">
      <c r="A7" s="1">
        <v>45810.520842152779</v>
      </c>
      <c r="B7" s="6">
        <v>32</v>
      </c>
      <c r="C7" s="15" t="s">
        <v>12</v>
      </c>
      <c r="D7" s="2" t="s">
        <v>4</v>
      </c>
      <c r="E7" s="2" t="s">
        <v>3</v>
      </c>
      <c r="F7" s="13">
        <f>B7*2.3</f>
        <v>73.599999999999994</v>
      </c>
      <c r="G7" s="13">
        <f>F7+20</f>
        <v>93.6</v>
      </c>
      <c r="H7" s="13" t="str">
        <f>IF(G7&gt;89,"84",IF(G7&gt;79,"83",IF(G7&gt;69,"79",IF(G7&gt;59,"78","60"))))</f>
        <v>84</v>
      </c>
    </row>
    <row r="8" spans="1:8" ht="13.5" thickBot="1" x14ac:dyDescent="0.25">
      <c r="A8" s="3">
        <v>45810.520682141199</v>
      </c>
      <c r="B8" s="5">
        <v>32</v>
      </c>
      <c r="C8" s="14" t="s">
        <v>43</v>
      </c>
      <c r="D8" s="4" t="s">
        <v>2</v>
      </c>
      <c r="E8" s="4" t="s">
        <v>3</v>
      </c>
      <c r="F8" s="13">
        <f>B8*2.3</f>
        <v>73.599999999999994</v>
      </c>
      <c r="G8" s="13">
        <f>F8+20</f>
        <v>93.6</v>
      </c>
      <c r="H8" s="13" t="str">
        <f>IF(G8&gt;89,"84",IF(G8&gt;79,"83",IF(G8&gt;69,"79",IF(G8&gt;59,"78","60"))))</f>
        <v>84</v>
      </c>
    </row>
    <row r="9" spans="1:8" ht="13.5" thickBot="1" x14ac:dyDescent="0.25">
      <c r="A9" s="1">
        <v>45810.536874803242</v>
      </c>
      <c r="B9" s="6">
        <v>30</v>
      </c>
      <c r="C9" s="15" t="s">
        <v>35</v>
      </c>
      <c r="D9" s="2" t="s">
        <v>2</v>
      </c>
      <c r="E9" s="2" t="s">
        <v>3</v>
      </c>
      <c r="F9" s="13">
        <f>B9*2.3</f>
        <v>69</v>
      </c>
      <c r="G9" s="13">
        <f>F9+20</f>
        <v>89</v>
      </c>
      <c r="H9" s="13" t="str">
        <f>IF(G9&gt;89,"84",IF(G9&gt;79,"83",IF(G9&gt;69,"79",IF(G9&gt;59,"78","60"))))</f>
        <v>83</v>
      </c>
    </row>
    <row r="10" spans="1:8" ht="13.5" thickBot="1" x14ac:dyDescent="0.25">
      <c r="A10" s="3">
        <v>45810.52017653935</v>
      </c>
      <c r="B10" s="5">
        <v>31</v>
      </c>
      <c r="C10" s="14" t="s">
        <v>11</v>
      </c>
      <c r="D10" s="4" t="s">
        <v>2</v>
      </c>
      <c r="E10" s="4" t="s">
        <v>3</v>
      </c>
      <c r="F10" s="13">
        <f>B10*2.3</f>
        <v>71.3</v>
      </c>
      <c r="G10" s="13">
        <f>F10+20</f>
        <v>91.3</v>
      </c>
      <c r="H10" s="13" t="str">
        <f>IF(G10&gt;89,"84",IF(G10&gt;79,"83",IF(G10&gt;69,"79",IF(G10&gt;59,"78","60"))))</f>
        <v>84</v>
      </c>
    </row>
    <row r="11" spans="1:8" ht="13.5" thickBot="1" x14ac:dyDescent="0.25">
      <c r="A11" s="1">
        <v>45810.520289780092</v>
      </c>
      <c r="B11" s="6">
        <v>30</v>
      </c>
      <c r="C11" s="15" t="s">
        <v>42</v>
      </c>
      <c r="D11" s="2" t="s">
        <v>2</v>
      </c>
      <c r="E11" s="2" t="s">
        <v>3</v>
      </c>
      <c r="F11" s="13">
        <f>B11*2.3</f>
        <v>69</v>
      </c>
      <c r="G11" s="13">
        <f>F11+20</f>
        <v>89</v>
      </c>
      <c r="H11" s="13" t="str">
        <f>IF(G11&gt;89,"84",IF(G11&gt;79,"83",IF(G11&gt;69,"79",IF(G11&gt;59,"78","60"))))</f>
        <v>83</v>
      </c>
    </row>
    <row r="12" spans="1:8" ht="13.5" thickBot="1" x14ac:dyDescent="0.25">
      <c r="A12" s="3">
        <v>45810.521852280093</v>
      </c>
      <c r="B12" s="5">
        <v>30</v>
      </c>
      <c r="C12" s="14" t="s">
        <v>29</v>
      </c>
      <c r="D12" s="4" t="s">
        <v>2</v>
      </c>
      <c r="E12" s="4" t="s">
        <v>3</v>
      </c>
      <c r="F12" s="13">
        <f>B12*2.3</f>
        <v>69</v>
      </c>
      <c r="G12" s="13">
        <f>F12+20</f>
        <v>89</v>
      </c>
      <c r="H12" s="13" t="str">
        <f>IF(G12&gt;89,"84",IF(G12&gt;79,"83",IF(G12&gt;69,"79",IF(G12&gt;59,"78","60"))))</f>
        <v>83</v>
      </c>
    </row>
    <row r="13" spans="1:8" ht="13.5" thickBot="1" x14ac:dyDescent="0.25">
      <c r="A13" s="1">
        <v>45810.535437199069</v>
      </c>
      <c r="B13" s="6">
        <v>31</v>
      </c>
      <c r="C13" s="10" t="s">
        <v>31</v>
      </c>
      <c r="D13" s="2" t="s">
        <v>2</v>
      </c>
      <c r="E13" s="2" t="s">
        <v>3</v>
      </c>
      <c r="F13" s="13">
        <f>B13*2.3</f>
        <v>71.3</v>
      </c>
      <c r="G13" s="13">
        <f>F13+20</f>
        <v>91.3</v>
      </c>
      <c r="H13" s="13" t="str">
        <f>IF(G13&gt;89,"84",IF(G13&gt;79,"83",IF(G13&gt;69,"79",IF(G13&gt;59,"78","60"))))</f>
        <v>84</v>
      </c>
    </row>
    <row r="14" spans="1:8" ht="13.5" hidden="1" thickBot="1" x14ac:dyDescent="0.25">
      <c r="A14" s="3">
        <v>45810.526139189817</v>
      </c>
      <c r="B14" s="5">
        <v>30</v>
      </c>
      <c r="C14" s="11" t="s">
        <v>24</v>
      </c>
      <c r="D14" s="4" t="s">
        <v>4</v>
      </c>
      <c r="E14" s="4" t="s">
        <v>3</v>
      </c>
      <c r="F14" s="13">
        <f>B14*2.3</f>
        <v>69</v>
      </c>
      <c r="G14" s="13">
        <f>F14+20</f>
        <v>89</v>
      </c>
      <c r="H14" s="13" t="str">
        <f>IF(G14&gt;89,"84",IF(G14&gt;79,"83",IF(G14&gt;69,"79",IF(G14&gt;59,"78","60"))))</f>
        <v>83</v>
      </c>
    </row>
    <row r="15" spans="1:8" ht="13.5" hidden="1" thickBot="1" x14ac:dyDescent="0.25">
      <c r="A15" s="1">
        <v>45810.521243935189</v>
      </c>
      <c r="B15" s="6">
        <v>31</v>
      </c>
      <c r="C15" s="15" t="s">
        <v>7</v>
      </c>
      <c r="D15" s="2" t="s">
        <v>4</v>
      </c>
      <c r="E15" s="2" t="s">
        <v>3</v>
      </c>
      <c r="F15" s="13">
        <f>B15*2.3</f>
        <v>71.3</v>
      </c>
      <c r="G15" s="13">
        <f>F15+20</f>
        <v>91.3</v>
      </c>
      <c r="H15" s="13" t="str">
        <f>IF(G15&gt;89,"84",IF(G15&gt;79,"83",IF(G15&gt;69,"79",IF(G15&gt;59,"78","60"))))</f>
        <v>84</v>
      </c>
    </row>
    <row r="16" spans="1:8" ht="13.5" hidden="1" thickBot="1" x14ac:dyDescent="0.25">
      <c r="A16" s="3">
        <v>45810.523961030092</v>
      </c>
      <c r="B16" s="5">
        <v>31</v>
      </c>
      <c r="C16" s="11" t="s">
        <v>30</v>
      </c>
      <c r="D16" s="4" t="s">
        <v>4</v>
      </c>
      <c r="E16" s="4" t="s">
        <v>3</v>
      </c>
      <c r="F16" s="13">
        <f>B16*2.3</f>
        <v>71.3</v>
      </c>
      <c r="G16" s="13">
        <f>F16+20</f>
        <v>91.3</v>
      </c>
      <c r="H16" s="13" t="str">
        <f>IF(G16&gt;89,"84",IF(G16&gt;79,"83",IF(G16&gt;69,"79",IF(G16&gt;59,"78","60"))))</f>
        <v>84</v>
      </c>
    </row>
    <row r="17" spans="1:8" ht="13.5" thickBot="1" x14ac:dyDescent="0.25">
      <c r="A17" s="1">
        <v>45810.530980798612</v>
      </c>
      <c r="B17" s="6">
        <v>16</v>
      </c>
      <c r="C17" s="15" t="s">
        <v>26</v>
      </c>
      <c r="D17" s="2" t="s">
        <v>2</v>
      </c>
      <c r="E17" s="2" t="s">
        <v>3</v>
      </c>
      <c r="F17" s="13">
        <f>B17*2.3</f>
        <v>36.799999999999997</v>
      </c>
      <c r="G17" s="13">
        <f>F17+20</f>
        <v>56.8</v>
      </c>
      <c r="H17" s="13" t="str">
        <f>IF(G17&gt;89,"84",IF(G17&gt;79,"83",IF(G17&gt;69,"79",IF(G17&gt;59,"78","60"))))</f>
        <v>60</v>
      </c>
    </row>
    <row r="18" spans="1:8" ht="13.5" hidden="1" thickBot="1" x14ac:dyDescent="0.25">
      <c r="A18" s="3">
        <v>45810.523193657413</v>
      </c>
      <c r="B18" s="5">
        <v>31</v>
      </c>
      <c r="C18" s="11" t="s">
        <v>44</v>
      </c>
      <c r="D18" s="4" t="s">
        <v>4</v>
      </c>
      <c r="E18" s="4" t="s">
        <v>3</v>
      </c>
      <c r="F18" s="13">
        <f>B18*2.3</f>
        <v>71.3</v>
      </c>
      <c r="G18" s="13">
        <f>F18+20</f>
        <v>91.3</v>
      </c>
      <c r="H18" s="13" t="str">
        <f>IF(G18&gt;89,"84",IF(G18&gt;79,"83",IF(G18&gt;69,"79",IF(G18&gt;59,"78","60"))))</f>
        <v>84</v>
      </c>
    </row>
    <row r="19" spans="1:8" ht="13.5" hidden="1" thickBot="1" x14ac:dyDescent="0.25">
      <c r="A19" s="1">
        <v>45810.522610150467</v>
      </c>
      <c r="B19" s="6">
        <v>31</v>
      </c>
      <c r="C19" s="10" t="s">
        <v>23</v>
      </c>
      <c r="D19" s="2" t="s">
        <v>4</v>
      </c>
      <c r="E19" s="2" t="s">
        <v>3</v>
      </c>
      <c r="F19" s="13">
        <f>B19*2.3</f>
        <v>71.3</v>
      </c>
      <c r="G19" s="13">
        <f>F19+20</f>
        <v>91.3</v>
      </c>
      <c r="H19" s="13" t="str">
        <f>IF(G19&gt;89,"84",IF(G19&gt;79,"83",IF(G19&gt;69,"79",IF(G19&gt;59,"78","60"))))</f>
        <v>84</v>
      </c>
    </row>
    <row r="20" spans="1:8" ht="13.5" hidden="1" thickBot="1" x14ac:dyDescent="0.25">
      <c r="A20" s="3">
        <v>45810.521062175925</v>
      </c>
      <c r="B20" s="5">
        <v>30</v>
      </c>
      <c r="C20" s="14" t="s">
        <v>6</v>
      </c>
      <c r="D20" s="4" t="s">
        <v>4</v>
      </c>
      <c r="E20" s="4" t="s">
        <v>3</v>
      </c>
      <c r="F20" s="13">
        <f>B20*2.3</f>
        <v>69</v>
      </c>
      <c r="G20" s="13">
        <f>F20+20</f>
        <v>89</v>
      </c>
      <c r="H20" s="13" t="str">
        <f>IF(G20&gt;89,"84",IF(G20&gt;79,"83",IF(G20&gt;69,"79",IF(G20&gt;59,"78","60"))))</f>
        <v>83</v>
      </c>
    </row>
    <row r="21" spans="1:8" ht="13.5" thickBot="1" x14ac:dyDescent="0.25">
      <c r="A21" s="1">
        <v>45810.52450994213</v>
      </c>
      <c r="B21" s="6">
        <v>33</v>
      </c>
      <c r="C21" s="10" t="s">
        <v>27</v>
      </c>
      <c r="D21" s="2" t="s">
        <v>2</v>
      </c>
      <c r="E21" s="2" t="s">
        <v>3</v>
      </c>
      <c r="F21" s="13">
        <f>B21*2.3</f>
        <v>75.899999999999991</v>
      </c>
      <c r="G21" s="13">
        <f>F21+20</f>
        <v>95.899999999999991</v>
      </c>
      <c r="H21" s="13" t="str">
        <f>IF(G21&gt;89,"84",IF(G21&gt;79,"83",IF(G21&gt;69,"79",IF(G21&gt;59,"78","60"))))</f>
        <v>84</v>
      </c>
    </row>
    <row r="22" spans="1:8" ht="13.5" hidden="1" thickBot="1" x14ac:dyDescent="0.25">
      <c r="A22" s="3">
        <v>45811.992524085646</v>
      </c>
      <c r="B22" s="5">
        <v>32</v>
      </c>
      <c r="C22" s="14" t="s">
        <v>37</v>
      </c>
      <c r="D22" s="4" t="s">
        <v>4</v>
      </c>
      <c r="E22" s="4" t="s">
        <v>3</v>
      </c>
      <c r="F22" s="13">
        <f>B22*2.3</f>
        <v>73.599999999999994</v>
      </c>
      <c r="G22" s="13">
        <f>F22+20</f>
        <v>93.6</v>
      </c>
      <c r="H22" s="13" t="str">
        <f>IF(G22&gt;89,"84",IF(G22&gt;79,"83",IF(G22&gt;69,"79",IF(G22&gt;59,"78","60"))))</f>
        <v>84</v>
      </c>
    </row>
    <row r="23" spans="1:8" ht="13.5" hidden="1" thickBot="1" x14ac:dyDescent="0.25">
      <c r="A23" s="1">
        <v>45810.530659050928</v>
      </c>
      <c r="B23" s="6">
        <v>32</v>
      </c>
      <c r="C23" s="10" t="s">
        <v>38</v>
      </c>
      <c r="D23" s="2" t="s">
        <v>4</v>
      </c>
      <c r="E23" s="2" t="s">
        <v>3</v>
      </c>
      <c r="F23" s="13">
        <f>B23*2.3</f>
        <v>73.599999999999994</v>
      </c>
      <c r="G23" s="13">
        <f>F23+20</f>
        <v>93.6</v>
      </c>
      <c r="H23" s="13" t="str">
        <f>IF(G23&gt;89,"84",IF(G23&gt;79,"83",IF(G23&gt;69,"79",IF(G23&gt;59,"78","60"))))</f>
        <v>84</v>
      </c>
    </row>
    <row r="24" spans="1:8" ht="13.5" thickBot="1" x14ac:dyDescent="0.25">
      <c r="A24" s="3">
        <v>45810.538582685185</v>
      </c>
      <c r="B24" s="5">
        <v>31</v>
      </c>
      <c r="C24" s="11" t="s">
        <v>51</v>
      </c>
      <c r="D24" s="4" t="s">
        <v>2</v>
      </c>
      <c r="E24" s="4" t="s">
        <v>3</v>
      </c>
      <c r="F24" s="13">
        <f>B24*2.3</f>
        <v>71.3</v>
      </c>
      <c r="G24" s="13">
        <f>F24+20</f>
        <v>91.3</v>
      </c>
      <c r="H24" s="13" t="str">
        <f>IF(G24&gt;89,"84",IF(G24&gt;79,"83",IF(G24&gt;69,"79",IF(G24&gt;59,"78","60"))))</f>
        <v>84</v>
      </c>
    </row>
    <row r="25" spans="1:8" ht="13.5" hidden="1" thickBot="1" x14ac:dyDescent="0.25">
      <c r="A25" s="1">
        <v>45810.516121759254</v>
      </c>
      <c r="B25" s="6">
        <v>24</v>
      </c>
      <c r="C25" s="15" t="s">
        <v>10</v>
      </c>
      <c r="D25" s="2" t="s">
        <v>4</v>
      </c>
      <c r="E25" s="2" t="s">
        <v>3</v>
      </c>
      <c r="F25" s="13">
        <f>B25*2.3</f>
        <v>55.199999999999996</v>
      </c>
      <c r="G25" s="13">
        <f>F25+20</f>
        <v>75.199999999999989</v>
      </c>
      <c r="H25" s="13" t="str">
        <f>IF(G25&gt;89,"84",IF(G25&gt;79,"83",IF(G25&gt;69,"79",IF(G25&gt;59,"78","60"))))</f>
        <v>79</v>
      </c>
    </row>
    <row r="26" spans="1:8" ht="13.5" thickBot="1" x14ac:dyDescent="0.25">
      <c r="A26" s="3">
        <v>45810.534116481482</v>
      </c>
      <c r="B26" s="5">
        <v>33</v>
      </c>
      <c r="C26" s="14" t="s">
        <v>50</v>
      </c>
      <c r="D26" s="4" t="s">
        <v>2</v>
      </c>
      <c r="E26" s="4" t="s">
        <v>3</v>
      </c>
      <c r="F26" s="13">
        <f>B26*2.3</f>
        <v>75.899999999999991</v>
      </c>
      <c r="G26" s="13">
        <f>F26+20</f>
        <v>95.899999999999991</v>
      </c>
      <c r="H26" s="13" t="str">
        <f>IF(G26&gt;89,"84",IF(G26&gt;79,"83",IF(G26&gt;69,"79",IF(G26&gt;59,"78","60"))))</f>
        <v>84</v>
      </c>
    </row>
    <row r="27" spans="1:8" ht="13.5" hidden="1" thickBot="1" x14ac:dyDescent="0.25">
      <c r="A27" s="1">
        <v>45810.537796828707</v>
      </c>
      <c r="B27" s="6">
        <v>32</v>
      </c>
      <c r="C27" s="10" t="s">
        <v>36</v>
      </c>
      <c r="D27" s="2" t="s">
        <v>4</v>
      </c>
      <c r="E27" s="2" t="s">
        <v>3</v>
      </c>
      <c r="F27" s="13">
        <f>B27*2.3</f>
        <v>73.599999999999994</v>
      </c>
      <c r="G27" s="13">
        <f>F27+20</f>
        <v>93.6</v>
      </c>
      <c r="H27" s="13" t="str">
        <f>IF(G27&gt;89,"84",IF(G27&gt;79,"83",IF(G27&gt;69,"79",IF(G27&gt;59,"78","60"))))</f>
        <v>84</v>
      </c>
    </row>
    <row r="28" spans="1:8" ht="13.5" thickBot="1" x14ac:dyDescent="0.25">
      <c r="A28" s="3">
        <v>45810.514198912038</v>
      </c>
      <c r="B28" s="5">
        <v>12</v>
      </c>
      <c r="C28" s="14" t="s">
        <v>41</v>
      </c>
      <c r="D28" s="4" t="s">
        <v>2</v>
      </c>
      <c r="E28" s="4" t="s">
        <v>3</v>
      </c>
      <c r="F28" s="13">
        <f>B28*2.3</f>
        <v>27.599999999999998</v>
      </c>
      <c r="G28" s="13">
        <f>F28+20</f>
        <v>47.599999999999994</v>
      </c>
      <c r="H28" s="13" t="str">
        <f>IF(G28&gt;89,"84",IF(G28&gt;79,"83",IF(G28&gt;69,"79",IF(G28&gt;59,"78","60"))))</f>
        <v>60</v>
      </c>
    </row>
    <row r="29" spans="1:8" ht="13.5" thickBot="1" x14ac:dyDescent="0.25">
      <c r="A29" s="1">
        <v>45810.530069444445</v>
      </c>
      <c r="B29" s="6">
        <v>29</v>
      </c>
      <c r="C29" s="10" t="s">
        <v>45</v>
      </c>
      <c r="D29" s="2" t="s">
        <v>2</v>
      </c>
      <c r="E29" s="2" t="s">
        <v>3</v>
      </c>
      <c r="F29" s="13">
        <f>B29*2.3</f>
        <v>66.699999999999989</v>
      </c>
      <c r="G29" s="13">
        <f>F29+20</f>
        <v>86.699999999999989</v>
      </c>
      <c r="H29" s="13" t="str">
        <f>IF(G29&gt;89,"84",IF(G29&gt;79,"83",IF(G29&gt;69,"79",IF(G29&gt;59,"78","60"))))</f>
        <v>83</v>
      </c>
    </row>
    <row r="30" spans="1:8" ht="13.5" thickBot="1" x14ac:dyDescent="0.25">
      <c r="A30" s="3">
        <v>45810.526273750002</v>
      </c>
      <c r="B30" s="5">
        <v>31</v>
      </c>
      <c r="C30" s="14" t="s">
        <v>25</v>
      </c>
      <c r="D30" s="4" t="s">
        <v>2</v>
      </c>
      <c r="E30" s="4" t="s">
        <v>3</v>
      </c>
      <c r="F30" s="13">
        <f>B30*2.3</f>
        <v>71.3</v>
      </c>
      <c r="G30" s="13">
        <f>F30+20</f>
        <v>91.3</v>
      </c>
      <c r="H30" s="13" t="str">
        <f>IF(G30&gt;89,"84",IF(G30&gt;79,"83",IF(G30&gt;69,"79",IF(G30&gt;59,"78","60"))))</f>
        <v>84</v>
      </c>
    </row>
    <row r="31" spans="1:8" ht="15.75" hidden="1" customHeight="1" x14ac:dyDescent="0.2"/>
    <row r="32" spans="1:8" ht="13.5" hidden="1" thickBot="1" x14ac:dyDescent="0.25">
      <c r="A32" s="3">
        <v>45810.930761597221</v>
      </c>
      <c r="B32" s="5">
        <v>28</v>
      </c>
      <c r="C32" s="11" t="s">
        <v>52</v>
      </c>
      <c r="D32" s="4" t="s">
        <v>4</v>
      </c>
      <c r="E32" s="4" t="s">
        <v>3</v>
      </c>
      <c r="F32" s="13">
        <f>B32*2.3</f>
        <v>64.399999999999991</v>
      </c>
      <c r="G32" s="13">
        <f>F32+20</f>
        <v>84.399999999999991</v>
      </c>
      <c r="H32" s="13" t="str">
        <f>IF(G32&gt;89,"84",IF(G32&gt;79,"83",IF(G32&gt;69,"79",IF(G32&gt;59,"78","60"))))</f>
        <v>83</v>
      </c>
    </row>
    <row r="33" spans="1:8" ht="13.5" thickBot="1" x14ac:dyDescent="0.25">
      <c r="A33" s="1">
        <v>45810.534734606481</v>
      </c>
      <c r="B33" s="6">
        <v>19</v>
      </c>
      <c r="C33" s="15" t="s">
        <v>32</v>
      </c>
      <c r="D33" s="2" t="s">
        <v>2</v>
      </c>
      <c r="E33" s="2" t="s">
        <v>3</v>
      </c>
      <c r="F33" s="13">
        <f>B33*2.3</f>
        <v>43.699999999999996</v>
      </c>
      <c r="G33" s="13">
        <f>F33+20</f>
        <v>63.699999999999996</v>
      </c>
      <c r="H33" s="13" t="str">
        <f>IF(G33&gt;89,"84",IF(G33&gt;79,"83",IF(G33&gt;69,"79",IF(G33&gt;59,"78","60"))))</f>
        <v>78</v>
      </c>
    </row>
    <row r="34" spans="1:8" ht="13.5" thickBot="1" x14ac:dyDescent="0.25">
      <c r="A34" s="3">
        <v>45810.500047210648</v>
      </c>
      <c r="B34" s="5">
        <v>32</v>
      </c>
      <c r="C34" s="11" t="s">
        <v>40</v>
      </c>
      <c r="D34" s="4" t="s">
        <v>2</v>
      </c>
      <c r="E34" s="4" t="s">
        <v>3</v>
      </c>
      <c r="F34" s="13">
        <f>B34*2.3</f>
        <v>73.599999999999994</v>
      </c>
      <c r="G34" s="13">
        <f>F34+20</f>
        <v>93.6</v>
      </c>
      <c r="H34" s="13" t="str">
        <f>IF(G34&gt;89,"84",IF(G34&gt;79,"83",IF(G34&gt;69,"79",IF(G34&gt;59,"78","60"))))</f>
        <v>84</v>
      </c>
    </row>
    <row r="35" spans="1:8" ht="13.5" hidden="1" thickBot="1" x14ac:dyDescent="0.25">
      <c r="A35" s="1">
        <v>45810.523748391206</v>
      </c>
      <c r="B35" s="6">
        <v>32</v>
      </c>
      <c r="C35" s="10" t="s">
        <v>8</v>
      </c>
      <c r="D35" s="2" t="s">
        <v>4</v>
      </c>
      <c r="E35" s="2" t="s">
        <v>3</v>
      </c>
      <c r="F35" s="13">
        <f>B35*2.3</f>
        <v>73.599999999999994</v>
      </c>
      <c r="G35" s="13">
        <f>F35+20</f>
        <v>93.6</v>
      </c>
      <c r="H35" s="13" t="str">
        <f>IF(G35&gt;89,"84",IF(G35&gt;79,"83",IF(G35&gt;69,"79",IF(G35&gt;59,"78","60"))))</f>
        <v>84</v>
      </c>
    </row>
    <row r="36" spans="1:8" ht="13.5" thickBot="1" x14ac:dyDescent="0.25">
      <c r="A36" s="3">
        <v>45810.527726990738</v>
      </c>
      <c r="B36" s="5">
        <v>30</v>
      </c>
      <c r="C36" s="14" t="s">
        <v>13</v>
      </c>
      <c r="D36" s="4" t="s">
        <v>2</v>
      </c>
      <c r="E36" s="4" t="s">
        <v>3</v>
      </c>
      <c r="F36" s="13">
        <f>B36*2.3</f>
        <v>69</v>
      </c>
      <c r="G36" s="13">
        <f>F36+20</f>
        <v>89</v>
      </c>
      <c r="H36" s="13" t="str">
        <f>IF(G36&gt;89,"84",IF(G36&gt;79,"83",IF(G36&gt;69,"79",IF(G36&gt;59,"78","60"))))</f>
        <v>83</v>
      </c>
    </row>
    <row r="37" spans="1:8" ht="13.5" thickBot="1" x14ac:dyDescent="0.25">
      <c r="A37" s="1">
        <v>45810.531735810189</v>
      </c>
      <c r="B37" s="6">
        <v>33</v>
      </c>
      <c r="C37" s="15" t="s">
        <v>19</v>
      </c>
      <c r="D37" s="2" t="s">
        <v>2</v>
      </c>
      <c r="E37" s="2" t="s">
        <v>3</v>
      </c>
      <c r="F37" s="13">
        <f>B37*2.3</f>
        <v>75.899999999999991</v>
      </c>
      <c r="G37" s="13">
        <f>F37+20</f>
        <v>95.899999999999991</v>
      </c>
      <c r="H37" s="13" t="str">
        <f>IF(G37&gt;89,"84",IF(G37&gt;79,"83",IF(G37&gt;69,"79",IF(G37&gt;59,"78","60"))))</f>
        <v>84</v>
      </c>
    </row>
    <row r="38" spans="1:8" ht="13.5" thickBot="1" x14ac:dyDescent="0.25">
      <c r="A38" s="3">
        <v>45810.530693472218</v>
      </c>
      <c r="B38" s="5">
        <v>33</v>
      </c>
      <c r="C38" s="11" t="s">
        <v>47</v>
      </c>
      <c r="D38" s="4" t="s">
        <v>2</v>
      </c>
      <c r="E38" s="4" t="s">
        <v>3</v>
      </c>
      <c r="F38" s="13">
        <f>B38*2.3</f>
        <v>75.899999999999991</v>
      </c>
      <c r="G38" s="13">
        <f>F38+20</f>
        <v>95.899999999999991</v>
      </c>
      <c r="H38" s="13" t="str">
        <f>IF(G38&gt;89,"84",IF(G38&gt;79,"83",IF(G38&gt;69,"79",IF(G38&gt;59,"78","60"))))</f>
        <v>84</v>
      </c>
    </row>
    <row r="39" spans="1:8" ht="13.5" thickBot="1" x14ac:dyDescent="0.25">
      <c r="A39" s="1">
        <v>45810.530775266205</v>
      </c>
      <c r="B39" s="6">
        <v>34</v>
      </c>
      <c r="C39" s="10" t="s">
        <v>48</v>
      </c>
      <c r="D39" s="2" t="s">
        <v>2</v>
      </c>
      <c r="E39" s="2" t="s">
        <v>3</v>
      </c>
      <c r="F39" s="13">
        <f>B39*2.3</f>
        <v>78.199999999999989</v>
      </c>
      <c r="G39" s="13">
        <f>F39+20</f>
        <v>98.199999999999989</v>
      </c>
      <c r="H39" s="13" t="str">
        <f>IF(G39&gt;89,"84",IF(G39&gt;79,"83",IF(G39&gt;69,"79",IF(G39&gt;59,"78","60"))))</f>
        <v>84</v>
      </c>
    </row>
    <row r="40" spans="1:8" ht="13.5" hidden="1" thickBot="1" x14ac:dyDescent="0.25">
      <c r="A40" s="3">
        <v>45810.516348310186</v>
      </c>
      <c r="B40" s="5">
        <v>30</v>
      </c>
      <c r="C40" s="14" t="s">
        <v>22</v>
      </c>
      <c r="D40" s="4" t="s">
        <v>4</v>
      </c>
      <c r="E40" s="4" t="s">
        <v>3</v>
      </c>
      <c r="F40" s="13">
        <f>B40*2.3</f>
        <v>69</v>
      </c>
      <c r="G40" s="13">
        <f>F40+20</f>
        <v>89</v>
      </c>
      <c r="H40" s="13" t="str">
        <f>IF(G40&gt;89,"84",IF(G40&gt;79,"83",IF(G40&gt;69,"79",IF(G40&gt;59,"78","60"))))</f>
        <v>83</v>
      </c>
    </row>
    <row r="41" spans="1:8" ht="13.5" thickBot="1" x14ac:dyDescent="0.25">
      <c r="A41" s="1">
        <v>45810.534025694447</v>
      </c>
      <c r="B41" s="6">
        <v>23</v>
      </c>
      <c r="C41" s="15" t="s">
        <v>49</v>
      </c>
      <c r="D41" s="2" t="s">
        <v>2</v>
      </c>
      <c r="E41" s="2" t="s">
        <v>3</v>
      </c>
      <c r="F41" s="13">
        <f>B41*2.3</f>
        <v>52.9</v>
      </c>
      <c r="G41" s="13">
        <f>F41+20</f>
        <v>72.900000000000006</v>
      </c>
      <c r="H41" s="13" t="str">
        <f>IF(G41&gt;89,"84",IF(G41&gt;79,"83",IF(G41&gt;69,"79",IF(G41&gt;59,"78","60"))))</f>
        <v>79</v>
      </c>
    </row>
    <row r="42" spans="1:8" ht="13.5" thickBot="1" x14ac:dyDescent="0.25">
      <c r="A42" s="3">
        <v>45810.529531793982</v>
      </c>
      <c r="B42" s="5">
        <v>34</v>
      </c>
      <c r="C42" s="11" t="s">
        <v>39</v>
      </c>
      <c r="D42" s="4" t="s">
        <v>2</v>
      </c>
      <c r="E42" s="4" t="s">
        <v>3</v>
      </c>
      <c r="F42" s="13">
        <f>B42*2.3</f>
        <v>78.199999999999989</v>
      </c>
      <c r="G42" s="13">
        <f>F42+20</f>
        <v>98.199999999999989</v>
      </c>
      <c r="H42" s="13" t="str">
        <f>IF(G42&gt;89,"84",IF(G42&gt;79,"83",IF(G42&gt;69,"79",IF(G42&gt;59,"78","60"))))</f>
        <v>84</v>
      </c>
    </row>
    <row r="43" spans="1:8" ht="13.5" thickBot="1" x14ac:dyDescent="0.25">
      <c r="A43" s="1">
        <v>45810.528374837959</v>
      </c>
      <c r="B43" s="6">
        <v>30</v>
      </c>
      <c r="C43" s="15" t="s">
        <v>33</v>
      </c>
      <c r="D43" s="2" t="s">
        <v>2</v>
      </c>
      <c r="E43" s="2" t="s">
        <v>3</v>
      </c>
      <c r="F43" s="13">
        <f>B43*2.3</f>
        <v>69</v>
      </c>
      <c r="G43" s="13">
        <f>F43+20</f>
        <v>89</v>
      </c>
      <c r="H43" s="13" t="str">
        <f>IF(G43&gt;89,"84",IF(G43&gt;79,"83",IF(G43&gt;69,"79",IF(G43&gt;59,"78","60"))))</f>
        <v>83</v>
      </c>
    </row>
    <row r="44" spans="1:8" ht="13.5" hidden="1" thickBot="1" x14ac:dyDescent="0.25">
      <c r="A44" s="3">
        <v>45810.531645023148</v>
      </c>
      <c r="B44" s="5">
        <v>26</v>
      </c>
      <c r="C44" s="14" t="s">
        <v>20</v>
      </c>
      <c r="D44" s="4" t="s">
        <v>4</v>
      </c>
      <c r="E44" s="4" t="s">
        <v>3</v>
      </c>
      <c r="F44" s="13">
        <f>B44*2.3</f>
        <v>59.8</v>
      </c>
      <c r="G44" s="13">
        <f>F44+20</f>
        <v>79.8</v>
      </c>
      <c r="H44" s="13" t="str">
        <f>IF(G44&gt;89,"84",IF(G44&gt;79,"83",IF(G44&gt;69,"79",IF(G44&gt;59,"78","60"))))</f>
        <v>83</v>
      </c>
    </row>
    <row r="45" spans="1:8" ht="13.5" hidden="1" thickBot="1" x14ac:dyDescent="0.25">
      <c r="A45" s="1">
        <v>45810.534849247684</v>
      </c>
      <c r="B45" s="6">
        <v>33</v>
      </c>
      <c r="C45" s="15" t="s">
        <v>28</v>
      </c>
      <c r="D45" s="2" t="s">
        <v>4</v>
      </c>
      <c r="E45" s="2" t="s">
        <v>3</v>
      </c>
      <c r="F45" s="13">
        <f>B45*2.3</f>
        <v>75.899999999999991</v>
      </c>
      <c r="G45" s="13">
        <f>F45+20</f>
        <v>95.899999999999991</v>
      </c>
      <c r="H45" s="13" t="str">
        <f>IF(G45&gt;89,"84",IF(G45&gt;79,"83",IF(G45&gt;69,"79",IF(G45&gt;59,"78","60"))))</f>
        <v>84</v>
      </c>
    </row>
    <row r="46" spans="1:8" ht="13.5" thickBot="1" x14ac:dyDescent="0.25">
      <c r="A46" s="3">
        <v>45810.565021620372</v>
      </c>
      <c r="B46" s="5">
        <v>31</v>
      </c>
      <c r="C46" s="14" t="s">
        <v>34</v>
      </c>
      <c r="D46" s="4" t="s">
        <v>2</v>
      </c>
      <c r="E46" s="4" t="s">
        <v>3</v>
      </c>
      <c r="F46" s="13">
        <f>B46*2.3</f>
        <v>71.3</v>
      </c>
      <c r="G46" s="13">
        <f>F46+20</f>
        <v>91.3</v>
      </c>
      <c r="H46" s="13" t="str">
        <f>IF(G46&gt;89,"84",IF(G46&gt;79,"83",IF(G46&gt;69,"79",IF(G46&gt;59,"78","60"))))</f>
        <v>84</v>
      </c>
    </row>
    <row r="47" spans="1:8" ht="15.75" hidden="1" customHeight="1" thickBot="1" x14ac:dyDescent="0.25">
      <c r="A47" s="7">
        <v>45810.534800243055</v>
      </c>
      <c r="B47" s="8">
        <v>34</v>
      </c>
      <c r="C47" s="12" t="s">
        <v>21</v>
      </c>
      <c r="D47" s="9" t="s">
        <v>4</v>
      </c>
      <c r="E47" s="9" t="s">
        <v>3</v>
      </c>
      <c r="F47" s="13">
        <f>B47*2.3</f>
        <v>78.199999999999989</v>
      </c>
      <c r="G47" s="13">
        <f>F47+20</f>
        <v>98.199999999999989</v>
      </c>
      <c r="H47" s="13" t="str">
        <f>IF(G47&gt;89,"84",IF(G47&gt;79,"83",IF(G47&gt;69,"79",IF(G47&gt;59,"78","60"))))</f>
        <v>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J7" sqref="J7"/>
    </sheetView>
  </sheetViews>
  <sheetFormatPr defaultRowHeight="12.75" x14ac:dyDescent="0.2"/>
  <cols>
    <col min="1" max="1" width="3.7109375" bestFit="1" customWidth="1"/>
    <col min="2" max="2" width="35.5703125" bestFit="1" customWidth="1"/>
    <col min="3" max="3" width="7.140625" bestFit="1" customWidth="1"/>
    <col min="4" max="4" width="8.140625" style="13" bestFit="1" customWidth="1"/>
    <col min="5" max="5" width="9.140625" bestFit="1" customWidth="1"/>
    <col min="6" max="6" width="12.5703125" bestFit="1" customWidth="1"/>
    <col min="7" max="7" width="12.140625" bestFit="1" customWidth="1"/>
  </cols>
  <sheetData>
    <row r="1" spans="1:7" x14ac:dyDescent="0.2">
      <c r="A1" s="26" t="s">
        <v>69</v>
      </c>
      <c r="B1" s="26"/>
      <c r="C1" s="26"/>
      <c r="D1" s="26"/>
      <c r="E1" s="26"/>
      <c r="F1" s="26"/>
      <c r="G1" s="26"/>
    </row>
    <row r="2" spans="1:7" x14ac:dyDescent="0.2">
      <c r="A2" s="26"/>
      <c r="B2" s="26"/>
      <c r="C2" s="26"/>
      <c r="D2" s="26"/>
      <c r="E2" s="26"/>
      <c r="F2" s="26"/>
      <c r="G2" s="26"/>
    </row>
    <row r="4" spans="1:7" x14ac:dyDescent="0.2">
      <c r="A4" s="23" t="s">
        <v>64</v>
      </c>
      <c r="B4" s="23" t="s">
        <v>0</v>
      </c>
      <c r="C4" s="23" t="s">
        <v>1</v>
      </c>
      <c r="D4" s="23" t="s">
        <v>67</v>
      </c>
      <c r="E4" s="24" t="s">
        <v>15</v>
      </c>
      <c r="F4" s="24" t="s">
        <v>16</v>
      </c>
      <c r="G4" s="24" t="s">
        <v>17</v>
      </c>
    </row>
    <row r="5" spans="1:7" x14ac:dyDescent="0.2">
      <c r="A5" s="16">
        <v>1</v>
      </c>
      <c r="B5" s="17" t="s">
        <v>12</v>
      </c>
      <c r="C5" s="18" t="s">
        <v>4</v>
      </c>
      <c r="D5" s="25" t="s">
        <v>68</v>
      </c>
      <c r="E5" s="19">
        <v>73.599999999999994</v>
      </c>
      <c r="F5" s="19">
        <v>93.6</v>
      </c>
      <c r="G5" s="19" t="s">
        <v>61</v>
      </c>
    </row>
    <row r="6" spans="1:7" x14ac:dyDescent="0.2">
      <c r="A6" s="16">
        <v>2</v>
      </c>
      <c r="B6" s="17" t="s">
        <v>24</v>
      </c>
      <c r="C6" s="20" t="s">
        <v>4</v>
      </c>
      <c r="D6" s="25" t="s">
        <v>68</v>
      </c>
      <c r="E6" s="21">
        <v>69</v>
      </c>
      <c r="F6" s="21">
        <v>89</v>
      </c>
      <c r="G6" s="21" t="s">
        <v>62</v>
      </c>
    </row>
    <row r="7" spans="1:7" x14ac:dyDescent="0.2">
      <c r="A7" s="16">
        <v>3</v>
      </c>
      <c r="B7" s="17" t="s">
        <v>7</v>
      </c>
      <c r="C7" s="18" t="s">
        <v>4</v>
      </c>
      <c r="D7" s="25" t="s">
        <v>68</v>
      </c>
      <c r="E7" s="19">
        <v>71.3</v>
      </c>
      <c r="F7" s="19">
        <v>91.3</v>
      </c>
      <c r="G7" s="19" t="s">
        <v>61</v>
      </c>
    </row>
    <row r="8" spans="1:7" x14ac:dyDescent="0.2">
      <c r="A8" s="16">
        <v>4</v>
      </c>
      <c r="B8" s="17" t="s">
        <v>30</v>
      </c>
      <c r="C8" s="20" t="s">
        <v>4</v>
      </c>
      <c r="D8" s="25" t="s">
        <v>68</v>
      </c>
      <c r="E8" s="21">
        <v>71.3</v>
      </c>
      <c r="F8" s="21">
        <v>91.3</v>
      </c>
      <c r="G8" s="21" t="s">
        <v>61</v>
      </c>
    </row>
    <row r="9" spans="1:7" x14ac:dyDescent="0.2">
      <c r="A9" s="16">
        <v>5</v>
      </c>
      <c r="B9" s="17" t="s">
        <v>44</v>
      </c>
      <c r="C9" s="18" t="s">
        <v>4</v>
      </c>
      <c r="D9" s="25" t="s">
        <v>68</v>
      </c>
      <c r="E9" s="19">
        <v>71.3</v>
      </c>
      <c r="F9" s="19">
        <v>91.3</v>
      </c>
      <c r="G9" s="19" t="s">
        <v>61</v>
      </c>
    </row>
    <row r="10" spans="1:7" x14ac:dyDescent="0.2">
      <c r="A10" s="16">
        <v>6</v>
      </c>
      <c r="B10" s="22" t="s">
        <v>23</v>
      </c>
      <c r="C10" s="20" t="s">
        <v>4</v>
      </c>
      <c r="D10" s="25" t="s">
        <v>68</v>
      </c>
      <c r="E10" s="21">
        <v>71.3</v>
      </c>
      <c r="F10" s="21">
        <v>91.3</v>
      </c>
      <c r="G10" s="21" t="s">
        <v>61</v>
      </c>
    </row>
    <row r="11" spans="1:7" x14ac:dyDescent="0.2">
      <c r="A11" s="16">
        <v>7</v>
      </c>
      <c r="B11" s="22" t="s">
        <v>6</v>
      </c>
      <c r="C11" s="18" t="s">
        <v>4</v>
      </c>
      <c r="D11" s="25" t="s">
        <v>68</v>
      </c>
      <c r="E11" s="19">
        <v>69</v>
      </c>
      <c r="F11" s="19">
        <v>89</v>
      </c>
      <c r="G11" s="19" t="s">
        <v>62</v>
      </c>
    </row>
    <row r="12" spans="1:7" x14ac:dyDescent="0.2">
      <c r="A12" s="16">
        <v>8</v>
      </c>
      <c r="B12" s="22" t="s">
        <v>37</v>
      </c>
      <c r="C12" s="20" t="s">
        <v>4</v>
      </c>
      <c r="D12" s="25" t="s">
        <v>68</v>
      </c>
      <c r="E12" s="21">
        <v>73.599999999999994</v>
      </c>
      <c r="F12" s="21">
        <v>93.6</v>
      </c>
      <c r="G12" s="21" t="s">
        <v>61</v>
      </c>
    </row>
    <row r="13" spans="1:7" x14ac:dyDescent="0.2">
      <c r="A13" s="16">
        <v>9</v>
      </c>
      <c r="B13" s="22" t="s">
        <v>38</v>
      </c>
      <c r="C13" s="18" t="s">
        <v>4</v>
      </c>
      <c r="D13" s="25" t="s">
        <v>68</v>
      </c>
      <c r="E13" s="19">
        <v>73.599999999999994</v>
      </c>
      <c r="F13" s="19">
        <v>93.6</v>
      </c>
      <c r="G13" s="19" t="s">
        <v>61</v>
      </c>
    </row>
    <row r="14" spans="1:7" x14ac:dyDescent="0.2">
      <c r="A14" s="16">
        <v>10</v>
      </c>
      <c r="B14" s="17" t="s">
        <v>10</v>
      </c>
      <c r="C14" s="20" t="s">
        <v>4</v>
      </c>
      <c r="D14" s="25" t="s">
        <v>68</v>
      </c>
      <c r="E14" s="21">
        <v>55.199999999999996</v>
      </c>
      <c r="F14" s="21">
        <v>75.199999999999989</v>
      </c>
      <c r="G14" s="21" t="s">
        <v>63</v>
      </c>
    </row>
    <row r="15" spans="1:7" x14ac:dyDescent="0.2">
      <c r="A15" s="16">
        <v>11</v>
      </c>
      <c r="B15" s="22" t="s">
        <v>36</v>
      </c>
      <c r="C15" s="18" t="s">
        <v>4</v>
      </c>
      <c r="D15" s="25" t="s">
        <v>68</v>
      </c>
      <c r="E15" s="19">
        <v>73.599999999999994</v>
      </c>
      <c r="F15" s="19">
        <v>93.6</v>
      </c>
      <c r="G15" s="19" t="s">
        <v>61</v>
      </c>
    </row>
    <row r="16" spans="1:7" x14ac:dyDescent="0.2">
      <c r="A16" s="16">
        <v>12</v>
      </c>
      <c r="B16" s="17" t="s">
        <v>52</v>
      </c>
      <c r="C16" s="20" t="s">
        <v>4</v>
      </c>
      <c r="D16" s="25" t="s">
        <v>68</v>
      </c>
      <c r="E16" s="21">
        <v>64.399999999999991</v>
      </c>
      <c r="F16" s="21">
        <v>84.399999999999991</v>
      </c>
      <c r="G16" s="21" t="s">
        <v>62</v>
      </c>
    </row>
    <row r="17" spans="1:7" x14ac:dyDescent="0.2">
      <c r="A17" s="16">
        <v>13</v>
      </c>
      <c r="B17" s="22" t="s">
        <v>8</v>
      </c>
      <c r="C17" s="18" t="s">
        <v>4</v>
      </c>
      <c r="D17" s="25" t="s">
        <v>68</v>
      </c>
      <c r="E17" s="19">
        <v>73.599999999999994</v>
      </c>
      <c r="F17" s="19">
        <v>93.6</v>
      </c>
      <c r="G17" s="19" t="s">
        <v>61</v>
      </c>
    </row>
    <row r="18" spans="1:7" x14ac:dyDescent="0.2">
      <c r="A18" s="16">
        <v>14</v>
      </c>
      <c r="B18" s="22" t="s">
        <v>22</v>
      </c>
      <c r="C18" s="20" t="s">
        <v>4</v>
      </c>
      <c r="D18" s="25" t="s">
        <v>68</v>
      </c>
      <c r="E18" s="21">
        <v>69</v>
      </c>
      <c r="F18" s="21">
        <v>89</v>
      </c>
      <c r="G18" s="21" t="s">
        <v>62</v>
      </c>
    </row>
    <row r="19" spans="1:7" x14ac:dyDescent="0.2">
      <c r="A19" s="16">
        <v>15</v>
      </c>
      <c r="B19" s="22" t="s">
        <v>20</v>
      </c>
      <c r="C19" s="18" t="s">
        <v>4</v>
      </c>
      <c r="D19" s="25" t="s">
        <v>68</v>
      </c>
      <c r="E19" s="19">
        <v>59.8</v>
      </c>
      <c r="F19" s="19">
        <v>79.8</v>
      </c>
      <c r="G19" s="19" t="s">
        <v>62</v>
      </c>
    </row>
    <row r="20" spans="1:7" x14ac:dyDescent="0.2">
      <c r="A20" s="16">
        <v>16</v>
      </c>
      <c r="B20" s="17" t="s">
        <v>28</v>
      </c>
      <c r="C20" s="20" t="s">
        <v>4</v>
      </c>
      <c r="D20" s="25" t="s">
        <v>68</v>
      </c>
      <c r="E20" s="21">
        <v>75.899999999999991</v>
      </c>
      <c r="F20" s="21">
        <v>95.899999999999991</v>
      </c>
      <c r="G20" s="21" t="s">
        <v>61</v>
      </c>
    </row>
    <row r="21" spans="1:7" x14ac:dyDescent="0.2">
      <c r="A21" s="16">
        <v>17</v>
      </c>
      <c r="B21" s="22" t="s">
        <v>21</v>
      </c>
      <c r="C21" s="18" t="s">
        <v>4</v>
      </c>
      <c r="D21" s="25" t="s">
        <v>68</v>
      </c>
      <c r="E21" s="19">
        <v>78.199999999999989</v>
      </c>
      <c r="F21" s="19">
        <v>98.199999999999989</v>
      </c>
      <c r="G21" s="19" t="s">
        <v>61</v>
      </c>
    </row>
  </sheetData>
  <mergeCells count="1">
    <mergeCell ref="A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sqref="A1:G2"/>
    </sheetView>
  </sheetViews>
  <sheetFormatPr defaultRowHeight="12.75" x14ac:dyDescent="0.2"/>
  <cols>
    <col min="1" max="1" width="3.7109375" bestFit="1" customWidth="1"/>
    <col min="2" max="2" width="28.140625" bestFit="1" customWidth="1"/>
    <col min="3" max="3" width="7.140625" bestFit="1" customWidth="1"/>
    <col min="4" max="4" width="8.140625" style="13" bestFit="1" customWidth="1"/>
    <col min="6" max="6" width="12.5703125" bestFit="1" customWidth="1"/>
    <col min="7" max="7" width="12.140625" bestFit="1" customWidth="1"/>
  </cols>
  <sheetData>
    <row r="1" spans="1:7" ht="12.75" customHeight="1" x14ac:dyDescent="0.2">
      <c r="A1" s="26" t="s">
        <v>69</v>
      </c>
      <c r="B1" s="26"/>
      <c r="C1" s="26"/>
      <c r="D1" s="26"/>
      <c r="E1" s="26"/>
      <c r="F1" s="26"/>
      <c r="G1" s="26"/>
    </row>
    <row r="2" spans="1:7" ht="12.75" customHeight="1" x14ac:dyDescent="0.2">
      <c r="A2" s="26"/>
      <c r="B2" s="26"/>
      <c r="C2" s="26"/>
      <c r="D2" s="26"/>
      <c r="E2" s="26"/>
      <c r="F2" s="26"/>
      <c r="G2" s="26"/>
    </row>
    <row r="4" spans="1:7" x14ac:dyDescent="0.2">
      <c r="A4" s="23" t="s">
        <v>64</v>
      </c>
      <c r="B4" s="23" t="s">
        <v>0</v>
      </c>
      <c r="C4" s="23" t="s">
        <v>1</v>
      </c>
      <c r="D4" s="23" t="s">
        <v>67</v>
      </c>
      <c r="E4" s="24" t="s">
        <v>15</v>
      </c>
      <c r="F4" s="24" t="s">
        <v>16</v>
      </c>
      <c r="G4" s="24" t="s">
        <v>17</v>
      </c>
    </row>
    <row r="5" spans="1:7" x14ac:dyDescent="0.2">
      <c r="A5" s="16">
        <v>1</v>
      </c>
      <c r="B5" s="22" t="s">
        <v>14</v>
      </c>
      <c r="C5" s="18" t="s">
        <v>2</v>
      </c>
      <c r="D5" s="25" t="s">
        <v>68</v>
      </c>
      <c r="E5" s="19">
        <v>71.3</v>
      </c>
      <c r="F5" s="19">
        <v>91.3</v>
      </c>
      <c r="G5" s="19" t="s">
        <v>61</v>
      </c>
    </row>
    <row r="6" spans="1:7" x14ac:dyDescent="0.2">
      <c r="A6" s="16">
        <v>2</v>
      </c>
      <c r="B6" s="22" t="s">
        <v>5</v>
      </c>
      <c r="C6" s="20" t="s">
        <v>2</v>
      </c>
      <c r="D6" s="25" t="s">
        <v>68</v>
      </c>
      <c r="E6" s="21">
        <v>69</v>
      </c>
      <c r="F6" s="21">
        <v>89</v>
      </c>
      <c r="G6" s="21" t="s">
        <v>62</v>
      </c>
    </row>
    <row r="7" spans="1:7" x14ac:dyDescent="0.2">
      <c r="A7" s="16">
        <v>3</v>
      </c>
      <c r="B7" s="17" t="s">
        <v>18</v>
      </c>
      <c r="C7" s="18" t="s">
        <v>2</v>
      </c>
      <c r="D7" s="25" t="s">
        <v>68</v>
      </c>
      <c r="E7" s="19">
        <v>16.099999999999998</v>
      </c>
      <c r="F7" s="19">
        <v>36.099999999999994</v>
      </c>
      <c r="G7" s="19" t="s">
        <v>65</v>
      </c>
    </row>
    <row r="8" spans="1:7" x14ac:dyDescent="0.2">
      <c r="A8" s="16">
        <v>4</v>
      </c>
      <c r="B8" s="17" t="s">
        <v>46</v>
      </c>
      <c r="C8" s="20" t="s">
        <v>2</v>
      </c>
      <c r="D8" s="25" t="s">
        <v>68</v>
      </c>
      <c r="E8" s="21">
        <v>71.3</v>
      </c>
      <c r="F8" s="21">
        <v>91.3</v>
      </c>
      <c r="G8" s="21" t="s">
        <v>61</v>
      </c>
    </row>
    <row r="9" spans="1:7" x14ac:dyDescent="0.2">
      <c r="A9" s="16">
        <v>5</v>
      </c>
      <c r="B9" s="17" t="s">
        <v>9</v>
      </c>
      <c r="C9" s="18" t="s">
        <v>2</v>
      </c>
      <c r="D9" s="25" t="s">
        <v>68</v>
      </c>
      <c r="E9" s="19">
        <v>78.199999999999989</v>
      </c>
      <c r="F9" s="19">
        <v>98.199999999999989</v>
      </c>
      <c r="G9" s="19" t="s">
        <v>61</v>
      </c>
    </row>
    <row r="10" spans="1:7" x14ac:dyDescent="0.2">
      <c r="A10" s="16">
        <v>6</v>
      </c>
      <c r="B10" s="22" t="s">
        <v>43</v>
      </c>
      <c r="C10" s="20" t="s">
        <v>2</v>
      </c>
      <c r="D10" s="25" t="s">
        <v>68</v>
      </c>
      <c r="E10" s="21">
        <v>73.599999999999994</v>
      </c>
      <c r="F10" s="21">
        <v>93.6</v>
      </c>
      <c r="G10" s="21" t="s">
        <v>61</v>
      </c>
    </row>
    <row r="11" spans="1:7" x14ac:dyDescent="0.2">
      <c r="A11" s="16">
        <v>7</v>
      </c>
      <c r="B11" s="17" t="s">
        <v>35</v>
      </c>
      <c r="C11" s="18" t="s">
        <v>2</v>
      </c>
      <c r="D11" s="25" t="s">
        <v>68</v>
      </c>
      <c r="E11" s="19">
        <v>69</v>
      </c>
      <c r="F11" s="19">
        <v>89</v>
      </c>
      <c r="G11" s="19" t="s">
        <v>62</v>
      </c>
    </row>
    <row r="12" spans="1:7" x14ac:dyDescent="0.2">
      <c r="A12" s="16">
        <v>8</v>
      </c>
      <c r="B12" s="22" t="s">
        <v>11</v>
      </c>
      <c r="C12" s="20" t="s">
        <v>2</v>
      </c>
      <c r="D12" s="25" t="s">
        <v>68</v>
      </c>
      <c r="E12" s="21">
        <v>71.3</v>
      </c>
      <c r="F12" s="21">
        <v>91.3</v>
      </c>
      <c r="G12" s="21" t="s">
        <v>61</v>
      </c>
    </row>
    <row r="13" spans="1:7" x14ac:dyDescent="0.2">
      <c r="A13" s="16">
        <v>9</v>
      </c>
      <c r="B13" s="17" t="s">
        <v>42</v>
      </c>
      <c r="C13" s="18" t="s">
        <v>2</v>
      </c>
      <c r="D13" s="25" t="s">
        <v>68</v>
      </c>
      <c r="E13" s="19">
        <v>69</v>
      </c>
      <c r="F13" s="19">
        <v>89</v>
      </c>
      <c r="G13" s="19" t="s">
        <v>62</v>
      </c>
    </row>
    <row r="14" spans="1:7" x14ac:dyDescent="0.2">
      <c r="A14" s="16">
        <v>10</v>
      </c>
      <c r="B14" s="22" t="s">
        <v>29</v>
      </c>
      <c r="C14" s="20" t="s">
        <v>2</v>
      </c>
      <c r="D14" s="25" t="s">
        <v>68</v>
      </c>
      <c r="E14" s="21">
        <v>69</v>
      </c>
      <c r="F14" s="21">
        <v>89</v>
      </c>
      <c r="G14" s="21" t="s">
        <v>62</v>
      </c>
    </row>
    <row r="15" spans="1:7" x14ac:dyDescent="0.2">
      <c r="A15" s="16">
        <v>11</v>
      </c>
      <c r="B15" s="22" t="s">
        <v>31</v>
      </c>
      <c r="C15" s="18" t="s">
        <v>2</v>
      </c>
      <c r="D15" s="25" t="s">
        <v>68</v>
      </c>
      <c r="E15" s="19">
        <v>71.3</v>
      </c>
      <c r="F15" s="19">
        <v>91.3</v>
      </c>
      <c r="G15" s="19" t="s">
        <v>61</v>
      </c>
    </row>
    <row r="16" spans="1:7" x14ac:dyDescent="0.2">
      <c r="A16" s="16">
        <v>12</v>
      </c>
      <c r="B16" s="17" t="s">
        <v>26</v>
      </c>
      <c r="C16" s="20" t="s">
        <v>2</v>
      </c>
      <c r="D16" s="25" t="s">
        <v>68</v>
      </c>
      <c r="E16" s="21">
        <v>36.799999999999997</v>
      </c>
      <c r="F16" s="21">
        <v>56.8</v>
      </c>
      <c r="G16" s="21" t="s">
        <v>65</v>
      </c>
    </row>
    <row r="17" spans="1:7" x14ac:dyDescent="0.2">
      <c r="A17" s="16">
        <v>13</v>
      </c>
      <c r="B17" s="22" t="s">
        <v>27</v>
      </c>
      <c r="C17" s="18" t="s">
        <v>2</v>
      </c>
      <c r="D17" s="25" t="s">
        <v>68</v>
      </c>
      <c r="E17" s="19">
        <v>75.899999999999991</v>
      </c>
      <c r="F17" s="19">
        <v>95.899999999999991</v>
      </c>
      <c r="G17" s="19" t="s">
        <v>61</v>
      </c>
    </row>
    <row r="18" spans="1:7" x14ac:dyDescent="0.2">
      <c r="A18" s="16">
        <v>14</v>
      </c>
      <c r="B18" s="17" t="s">
        <v>51</v>
      </c>
      <c r="C18" s="20" t="s">
        <v>2</v>
      </c>
      <c r="D18" s="25" t="s">
        <v>68</v>
      </c>
      <c r="E18" s="21">
        <v>71.3</v>
      </c>
      <c r="F18" s="21">
        <v>91.3</v>
      </c>
      <c r="G18" s="21" t="s">
        <v>61</v>
      </c>
    </row>
    <row r="19" spans="1:7" x14ac:dyDescent="0.2">
      <c r="A19" s="16">
        <v>15</v>
      </c>
      <c r="B19" s="22" t="s">
        <v>50</v>
      </c>
      <c r="C19" s="18" t="s">
        <v>2</v>
      </c>
      <c r="D19" s="25" t="s">
        <v>68</v>
      </c>
      <c r="E19" s="19">
        <v>75.899999999999991</v>
      </c>
      <c r="F19" s="19">
        <v>95.899999999999991</v>
      </c>
      <c r="G19" s="19" t="s">
        <v>61</v>
      </c>
    </row>
    <row r="20" spans="1:7" x14ac:dyDescent="0.2">
      <c r="A20" s="16">
        <v>16</v>
      </c>
      <c r="B20" s="22" t="s">
        <v>41</v>
      </c>
      <c r="C20" s="20" t="s">
        <v>2</v>
      </c>
      <c r="D20" s="25" t="s">
        <v>68</v>
      </c>
      <c r="E20" s="21">
        <v>27.599999999999998</v>
      </c>
      <c r="F20" s="21">
        <v>47.599999999999994</v>
      </c>
      <c r="G20" s="21" t="s">
        <v>65</v>
      </c>
    </row>
    <row r="21" spans="1:7" x14ac:dyDescent="0.2">
      <c r="A21" s="16">
        <v>17</v>
      </c>
      <c r="B21" s="22" t="s">
        <v>45</v>
      </c>
      <c r="C21" s="18" t="s">
        <v>2</v>
      </c>
      <c r="D21" s="25" t="s">
        <v>68</v>
      </c>
      <c r="E21" s="19">
        <v>66.699999999999989</v>
      </c>
      <c r="F21" s="19">
        <v>86.699999999999989</v>
      </c>
      <c r="G21" s="19" t="s">
        <v>62</v>
      </c>
    </row>
    <row r="22" spans="1:7" x14ac:dyDescent="0.2">
      <c r="A22" s="16">
        <v>18</v>
      </c>
      <c r="B22" s="22" t="s">
        <v>25</v>
      </c>
      <c r="C22" s="20" t="s">
        <v>2</v>
      </c>
      <c r="D22" s="25" t="s">
        <v>68</v>
      </c>
      <c r="E22" s="21">
        <v>71.3</v>
      </c>
      <c r="F22" s="21">
        <v>91.3</v>
      </c>
      <c r="G22" s="21" t="s">
        <v>61</v>
      </c>
    </row>
    <row r="23" spans="1:7" x14ac:dyDescent="0.2">
      <c r="A23" s="16">
        <v>19</v>
      </c>
      <c r="B23" s="17" t="s">
        <v>32</v>
      </c>
      <c r="C23" s="18" t="s">
        <v>2</v>
      </c>
      <c r="D23" s="25" t="s">
        <v>68</v>
      </c>
      <c r="E23" s="19">
        <v>43.699999999999996</v>
      </c>
      <c r="F23" s="19">
        <v>63.699999999999996</v>
      </c>
      <c r="G23" s="19" t="s">
        <v>66</v>
      </c>
    </row>
    <row r="24" spans="1:7" x14ac:dyDescent="0.2">
      <c r="A24" s="16">
        <v>20</v>
      </c>
      <c r="B24" s="17" t="s">
        <v>40</v>
      </c>
      <c r="C24" s="20" t="s">
        <v>2</v>
      </c>
      <c r="D24" s="25" t="s">
        <v>68</v>
      </c>
      <c r="E24" s="21">
        <v>73.599999999999994</v>
      </c>
      <c r="F24" s="21">
        <v>93.6</v>
      </c>
      <c r="G24" s="21" t="s">
        <v>61</v>
      </c>
    </row>
    <row r="25" spans="1:7" x14ac:dyDescent="0.2">
      <c r="A25" s="16">
        <v>21</v>
      </c>
      <c r="B25" s="22" t="s">
        <v>13</v>
      </c>
      <c r="C25" s="18" t="s">
        <v>2</v>
      </c>
      <c r="D25" s="25" t="s">
        <v>68</v>
      </c>
      <c r="E25" s="19">
        <v>69</v>
      </c>
      <c r="F25" s="19">
        <v>89</v>
      </c>
      <c r="G25" s="19" t="s">
        <v>62</v>
      </c>
    </row>
    <row r="26" spans="1:7" x14ac:dyDescent="0.2">
      <c r="A26" s="16">
        <v>22</v>
      </c>
      <c r="B26" s="17" t="s">
        <v>19</v>
      </c>
      <c r="C26" s="20" t="s">
        <v>2</v>
      </c>
      <c r="D26" s="25" t="s">
        <v>68</v>
      </c>
      <c r="E26" s="21">
        <v>75.899999999999991</v>
      </c>
      <c r="F26" s="21">
        <v>95.899999999999991</v>
      </c>
      <c r="G26" s="21" t="s">
        <v>61</v>
      </c>
    </row>
    <row r="27" spans="1:7" x14ac:dyDescent="0.2">
      <c r="A27" s="16">
        <v>23</v>
      </c>
      <c r="B27" s="17" t="s">
        <v>47</v>
      </c>
      <c r="C27" s="18" t="s">
        <v>2</v>
      </c>
      <c r="D27" s="25" t="s">
        <v>68</v>
      </c>
      <c r="E27" s="19">
        <v>75.899999999999991</v>
      </c>
      <c r="F27" s="19">
        <v>95.899999999999991</v>
      </c>
      <c r="G27" s="19" t="s">
        <v>61</v>
      </c>
    </row>
    <row r="28" spans="1:7" x14ac:dyDescent="0.2">
      <c r="A28" s="16">
        <v>24</v>
      </c>
      <c r="B28" s="22" t="s">
        <v>48</v>
      </c>
      <c r="C28" s="20" t="s">
        <v>2</v>
      </c>
      <c r="D28" s="25" t="s">
        <v>68</v>
      </c>
      <c r="E28" s="21">
        <v>78.199999999999989</v>
      </c>
      <c r="F28" s="21">
        <v>98.199999999999989</v>
      </c>
      <c r="G28" s="21" t="s">
        <v>61</v>
      </c>
    </row>
    <row r="29" spans="1:7" x14ac:dyDescent="0.2">
      <c r="A29" s="16">
        <v>25</v>
      </c>
      <c r="B29" s="17" t="s">
        <v>49</v>
      </c>
      <c r="C29" s="18" t="s">
        <v>2</v>
      </c>
      <c r="D29" s="25" t="s">
        <v>68</v>
      </c>
      <c r="E29" s="19">
        <v>52.9</v>
      </c>
      <c r="F29" s="19">
        <v>72.900000000000006</v>
      </c>
      <c r="G29" s="19" t="s">
        <v>63</v>
      </c>
    </row>
    <row r="30" spans="1:7" x14ac:dyDescent="0.2">
      <c r="A30" s="16">
        <v>26</v>
      </c>
      <c r="B30" s="17" t="s">
        <v>39</v>
      </c>
      <c r="C30" s="20" t="s">
        <v>2</v>
      </c>
      <c r="D30" s="25" t="s">
        <v>68</v>
      </c>
      <c r="E30" s="21">
        <v>78.199999999999989</v>
      </c>
      <c r="F30" s="21">
        <v>98.199999999999989</v>
      </c>
      <c r="G30" s="21" t="s">
        <v>61</v>
      </c>
    </row>
    <row r="31" spans="1:7" x14ac:dyDescent="0.2">
      <c r="A31" s="16">
        <v>27</v>
      </c>
      <c r="B31" s="17" t="s">
        <v>33</v>
      </c>
      <c r="C31" s="18" t="s">
        <v>2</v>
      </c>
      <c r="D31" s="25" t="s">
        <v>68</v>
      </c>
      <c r="E31" s="19">
        <v>69</v>
      </c>
      <c r="F31" s="19">
        <v>89</v>
      </c>
      <c r="G31" s="19" t="s">
        <v>62</v>
      </c>
    </row>
    <row r="32" spans="1:7" x14ac:dyDescent="0.2">
      <c r="A32" s="16">
        <v>28</v>
      </c>
      <c r="B32" s="22" t="s">
        <v>34</v>
      </c>
      <c r="C32" s="20" t="s">
        <v>2</v>
      </c>
      <c r="D32" s="25" t="s">
        <v>68</v>
      </c>
      <c r="E32" s="21">
        <v>71.3</v>
      </c>
      <c r="F32" s="21">
        <v>91.3</v>
      </c>
      <c r="G32" s="21" t="s">
        <v>61</v>
      </c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1</vt:lpstr>
      <vt:lpstr>ACP</vt:lpstr>
      <vt:lpstr>RPL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Asep Sukandar</cp:lastModifiedBy>
  <dcterms:modified xsi:type="dcterms:W3CDTF">2025-06-04T07:34:27Z</dcterms:modified>
</cp:coreProperties>
</file>
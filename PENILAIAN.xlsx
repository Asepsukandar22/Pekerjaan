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ekerjaan\"/>
    </mc:Choice>
  </mc:AlternateContent>
  <bookViews>
    <workbookView xWindow="-120" yWindow="-120" windowWidth="20730" windowHeight="11760" firstSheet="6" activeTab="7"/>
  </bookViews>
  <sheets>
    <sheet name="X" sheetId="2" state="hidden" r:id="rId1"/>
    <sheet name="D.SISWA" sheetId="10" r:id="rId2"/>
    <sheet name="XI" sheetId="5" state="hidden" r:id="rId3"/>
    <sheet name="XII" sheetId="7" state="hidden" r:id="rId4"/>
    <sheet name="PERBAIKAN" sheetId="8" state="hidden" r:id="rId5"/>
    <sheet name="PENILAIAN S.1" sheetId="11" r:id="rId6"/>
    <sheet name="PENILAIAN S.3" sheetId="9" r:id="rId7"/>
    <sheet name="PENILAIAN S.5" sheetId="13" r:id="rId8"/>
    <sheet name="MAPEL" sheetId="12" state="hidden" r:id="rId9"/>
    <sheet name="LEGER" sheetId="14" state="hidden" r:id="rId10"/>
  </sheets>
  <definedNames>
    <definedName name="_xlnm._FilterDatabase" localSheetId="8" hidden="1">MAPEL!$B$1:$E$17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9" l="1"/>
  <c r="F6" i="11" l="1"/>
  <c r="AJ53" i="11" l="1"/>
  <c r="AG53" i="11"/>
  <c r="AD53" i="11"/>
  <c r="Z53" i="11"/>
  <c r="W53" i="11"/>
  <c r="AK53" i="11" s="1"/>
  <c r="AJ52" i="11"/>
  <c r="AG52" i="11"/>
  <c r="AD52" i="11"/>
  <c r="Z52" i="11"/>
  <c r="W52" i="11"/>
  <c r="AK52" i="11" s="1"/>
  <c r="AJ51" i="11"/>
  <c r="AG51" i="11"/>
  <c r="AD51" i="11"/>
  <c r="Z51" i="11"/>
  <c r="W51" i="11"/>
  <c r="AK51" i="11" s="1"/>
  <c r="AJ50" i="11"/>
  <c r="AG50" i="11"/>
  <c r="AD50" i="11"/>
  <c r="Z50" i="11"/>
  <c r="W50" i="11"/>
  <c r="AK50" i="11" s="1"/>
  <c r="AJ49" i="11"/>
  <c r="AG49" i="11"/>
  <c r="AD49" i="11"/>
  <c r="Z49" i="11"/>
  <c r="W49" i="11"/>
  <c r="AK49" i="11" s="1"/>
  <c r="AJ48" i="11"/>
  <c r="AG48" i="11"/>
  <c r="AD48" i="11"/>
  <c r="Z48" i="11"/>
  <c r="W48" i="11"/>
  <c r="AK48" i="11" s="1"/>
  <c r="AJ47" i="11"/>
  <c r="AG47" i="11"/>
  <c r="AD47" i="11"/>
  <c r="Z47" i="11"/>
  <c r="W47" i="11"/>
  <c r="AK47" i="11" s="1"/>
  <c r="AJ46" i="11"/>
  <c r="AG46" i="11"/>
  <c r="AD46" i="11"/>
  <c r="Z46" i="11"/>
  <c r="W46" i="11"/>
  <c r="AK46" i="11" s="1"/>
  <c r="AJ45" i="11"/>
  <c r="AG45" i="11"/>
  <c r="AD45" i="11"/>
  <c r="Z45" i="11"/>
  <c r="W45" i="11"/>
  <c r="AK45" i="11" s="1"/>
  <c r="AJ44" i="11"/>
  <c r="AG44" i="11"/>
  <c r="AD44" i="11"/>
  <c r="Z44" i="11"/>
  <c r="W44" i="11"/>
  <c r="AK44" i="11" s="1"/>
  <c r="AJ43" i="11"/>
  <c r="AG43" i="11"/>
  <c r="AD43" i="11"/>
  <c r="Z43" i="11"/>
  <c r="W43" i="11"/>
  <c r="AK43" i="11" s="1"/>
  <c r="AJ42" i="11"/>
  <c r="AG42" i="11"/>
  <c r="AD42" i="11"/>
  <c r="Z42" i="11"/>
  <c r="W42" i="11"/>
  <c r="AK42" i="11" s="1"/>
  <c r="AJ41" i="11"/>
  <c r="AG41" i="11"/>
  <c r="AD41" i="11"/>
  <c r="Z41" i="11"/>
  <c r="W41" i="11"/>
  <c r="AK41" i="11" s="1"/>
  <c r="AJ40" i="11"/>
  <c r="AG40" i="11"/>
  <c r="AD40" i="11"/>
  <c r="Z40" i="11"/>
  <c r="W40" i="11"/>
  <c r="AK40" i="11" s="1"/>
  <c r="AJ39" i="11"/>
  <c r="AG39" i="11"/>
  <c r="AD39" i="11"/>
  <c r="Z39" i="11"/>
  <c r="W39" i="11"/>
  <c r="AK39" i="11" s="1"/>
  <c r="AJ38" i="11"/>
  <c r="AG38" i="11"/>
  <c r="AD38" i="11"/>
  <c r="Z38" i="11"/>
  <c r="W38" i="11"/>
  <c r="AK38" i="11" s="1"/>
  <c r="AJ37" i="11"/>
  <c r="AG37" i="11"/>
  <c r="AD37" i="11"/>
  <c r="Z37" i="11"/>
  <c r="W37" i="11"/>
  <c r="AK37" i="11" s="1"/>
  <c r="AJ36" i="11"/>
  <c r="AG36" i="11"/>
  <c r="AD36" i="11"/>
  <c r="Z36" i="11"/>
  <c r="W36" i="11"/>
  <c r="AK36" i="11" s="1"/>
  <c r="AJ35" i="11"/>
  <c r="AG35" i="11"/>
  <c r="AD35" i="11"/>
  <c r="Z35" i="11"/>
  <c r="W35" i="11"/>
  <c r="AK35" i="11" s="1"/>
  <c r="AJ34" i="11"/>
  <c r="AG34" i="11"/>
  <c r="AD34" i="11"/>
  <c r="Z34" i="11"/>
  <c r="W34" i="11"/>
  <c r="AK34" i="11" s="1"/>
  <c r="AJ33" i="11"/>
  <c r="AG33" i="11"/>
  <c r="AD33" i="11"/>
  <c r="Z33" i="11"/>
  <c r="W33" i="11"/>
  <c r="AK33" i="11" s="1"/>
  <c r="AJ32" i="11"/>
  <c r="AG32" i="11"/>
  <c r="AD32" i="11"/>
  <c r="Z32" i="11"/>
  <c r="W32" i="11"/>
  <c r="AK32" i="11" s="1"/>
  <c r="AJ31" i="11"/>
  <c r="AG31" i="11"/>
  <c r="AD31" i="11"/>
  <c r="Z31" i="11"/>
  <c r="W31" i="11"/>
  <c r="AK31" i="11" s="1"/>
  <c r="AJ30" i="11"/>
  <c r="AG30" i="11"/>
  <c r="AD30" i="11"/>
  <c r="Z30" i="11"/>
  <c r="W30" i="11"/>
  <c r="AK30" i="11" s="1"/>
  <c r="AJ29" i="11"/>
  <c r="AG29" i="11"/>
  <c r="AD29" i="11"/>
  <c r="Z29" i="11"/>
  <c r="W29" i="11"/>
  <c r="AK29" i="11" s="1"/>
  <c r="AJ28" i="11"/>
  <c r="AG28" i="11"/>
  <c r="AD28" i="11"/>
  <c r="Z28" i="11"/>
  <c r="W28" i="11"/>
  <c r="AK28" i="11" s="1"/>
  <c r="AJ27" i="11"/>
  <c r="AG27" i="11"/>
  <c r="AD27" i="11"/>
  <c r="Z27" i="11"/>
  <c r="W27" i="11"/>
  <c r="AK27" i="11" s="1"/>
  <c r="AJ26" i="11"/>
  <c r="AG26" i="11"/>
  <c r="AD26" i="11"/>
  <c r="Z26" i="11"/>
  <c r="W26" i="11"/>
  <c r="AK26" i="11" s="1"/>
  <c r="AJ25" i="11"/>
  <c r="AG25" i="11"/>
  <c r="AD25" i="11"/>
  <c r="Z25" i="11"/>
  <c r="W25" i="11"/>
  <c r="AK25" i="11" s="1"/>
  <c r="AJ24" i="11"/>
  <c r="AG24" i="11"/>
  <c r="AD24" i="11"/>
  <c r="Z24" i="11"/>
  <c r="W24" i="11"/>
  <c r="AK24" i="11" s="1"/>
  <c r="AJ23" i="11"/>
  <c r="AG23" i="11"/>
  <c r="AD23" i="11"/>
  <c r="Z23" i="11"/>
  <c r="W23" i="11"/>
  <c r="AK23" i="11" s="1"/>
  <c r="AJ22" i="11"/>
  <c r="AG22" i="11"/>
  <c r="AD22" i="11"/>
  <c r="Z22" i="11"/>
  <c r="W22" i="11"/>
  <c r="AK22" i="11" s="1"/>
  <c r="AJ21" i="11"/>
  <c r="AG21" i="11"/>
  <c r="AD21" i="11"/>
  <c r="Z21" i="11"/>
  <c r="W21" i="11"/>
  <c r="AK21" i="11" s="1"/>
  <c r="AJ20" i="11"/>
  <c r="AG20" i="11"/>
  <c r="AD20" i="11"/>
  <c r="Z20" i="11"/>
  <c r="W20" i="11"/>
  <c r="AK20" i="11" s="1"/>
  <c r="AJ19" i="11"/>
  <c r="AG19" i="11"/>
  <c r="AD19" i="11"/>
  <c r="Z19" i="11"/>
  <c r="W19" i="11"/>
  <c r="AK19" i="11" s="1"/>
  <c r="AJ18" i="11"/>
  <c r="AG18" i="11"/>
  <c r="AD18" i="11"/>
  <c r="Z18" i="11"/>
  <c r="W18" i="11"/>
  <c r="AK18" i="11" s="1"/>
  <c r="AJ17" i="11"/>
  <c r="AG17" i="11"/>
  <c r="AD17" i="11"/>
  <c r="Z17" i="11"/>
  <c r="W17" i="11"/>
  <c r="AK17" i="11" s="1"/>
  <c r="AJ16" i="11"/>
  <c r="AG16" i="11"/>
  <c r="AD16" i="11"/>
  <c r="Z16" i="11"/>
  <c r="W16" i="11"/>
  <c r="AK16" i="11" s="1"/>
  <c r="AJ15" i="11"/>
  <c r="AG15" i="11"/>
  <c r="AD15" i="11"/>
  <c r="Z15" i="11"/>
  <c r="W15" i="11"/>
  <c r="AK15" i="11" s="1"/>
  <c r="AJ14" i="11"/>
  <c r="AG14" i="11"/>
  <c r="AD14" i="11"/>
  <c r="Z14" i="11"/>
  <c r="W14" i="11"/>
  <c r="AK14" i="11" s="1"/>
  <c r="AJ13" i="11"/>
  <c r="AG13" i="11"/>
  <c r="AD13" i="11"/>
  <c r="Z13" i="11"/>
  <c r="W13" i="11"/>
  <c r="AK13" i="11" s="1"/>
  <c r="AJ12" i="11"/>
  <c r="AG12" i="11"/>
  <c r="AD12" i="11"/>
  <c r="Z12" i="11"/>
  <c r="W12" i="11"/>
  <c r="AK12" i="11" s="1"/>
  <c r="AJ11" i="11"/>
  <c r="AG11" i="11"/>
  <c r="AD11" i="11"/>
  <c r="Z11" i="11"/>
  <c r="W11" i="11"/>
  <c r="AK11" i="11" s="1"/>
  <c r="AJ10" i="11"/>
  <c r="AG10" i="11"/>
  <c r="AD10" i="11"/>
  <c r="Z10" i="11"/>
  <c r="W10" i="11"/>
  <c r="AK10" i="11" s="1"/>
  <c r="AJ9" i="11"/>
  <c r="AG9" i="11"/>
  <c r="AD9" i="11"/>
  <c r="Z9" i="11"/>
  <c r="W9" i="11"/>
  <c r="AK9" i="11" s="1"/>
  <c r="AJ8" i="11"/>
  <c r="AG8" i="11"/>
  <c r="AD8" i="11"/>
  <c r="Z8" i="11"/>
  <c r="W8" i="11"/>
  <c r="AK8" i="11" s="1"/>
  <c r="AJ7" i="11"/>
  <c r="AG7" i="11"/>
  <c r="AD7" i="11"/>
  <c r="Z7" i="11"/>
  <c r="W7" i="11"/>
  <c r="AK7" i="11" s="1"/>
  <c r="AJ6" i="11"/>
  <c r="AG6" i="11"/>
  <c r="AD6" i="11"/>
  <c r="Z6" i="11"/>
  <c r="W6" i="11"/>
  <c r="AK6" i="11" s="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AZ18" i="9" l="1"/>
  <c r="AZ19" i="9"/>
  <c r="AZ21" i="9"/>
  <c r="AZ22" i="9"/>
  <c r="AZ23" i="9"/>
  <c r="AZ24" i="9"/>
  <c r="AZ25" i="9"/>
  <c r="AZ26" i="9"/>
  <c r="AZ27" i="9"/>
  <c r="AZ28" i="9"/>
  <c r="AZ29" i="9"/>
  <c r="AZ30" i="9"/>
  <c r="AZ31" i="9"/>
  <c r="AZ32" i="9"/>
  <c r="AZ33" i="9"/>
  <c r="AZ34" i="9"/>
  <c r="AZ35" i="9"/>
  <c r="AZ36" i="9"/>
  <c r="AZ37" i="9"/>
  <c r="AZ38" i="9"/>
  <c r="AZ39" i="9"/>
  <c r="AZ40" i="9"/>
  <c r="AZ41" i="9"/>
  <c r="AZ42" i="9"/>
  <c r="AZ43" i="9"/>
  <c r="AZ44" i="9"/>
  <c r="AZ45" i="9"/>
  <c r="AZ46" i="9"/>
  <c r="AZ47" i="9"/>
  <c r="AZ48" i="9"/>
  <c r="AZ49" i="9"/>
  <c r="AZ50" i="9"/>
  <c r="AZ17" i="9"/>
  <c r="A7" i="14" l="1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C6" i="14"/>
  <c r="D6" i="14"/>
  <c r="B6" i="14"/>
  <c r="A6" i="14"/>
  <c r="C7" i="13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C6" i="11"/>
  <c r="D6" i="11"/>
  <c r="B6" i="11"/>
  <c r="AH53" i="13"/>
  <c r="AE53" i="13"/>
  <c r="AI53" i="13" s="1"/>
  <c r="AB53" i="13"/>
  <c r="Y53" i="13"/>
  <c r="V53" i="13"/>
  <c r="D53" i="13"/>
  <c r="C53" i="13"/>
  <c r="B53" i="13"/>
  <c r="A53" i="13"/>
  <c r="AH52" i="13"/>
  <c r="AE52" i="13"/>
  <c r="AI52" i="13" s="1"/>
  <c r="AB52" i="13"/>
  <c r="Y52" i="13"/>
  <c r="V52" i="13"/>
  <c r="D52" i="13"/>
  <c r="C52" i="13"/>
  <c r="B52" i="13"/>
  <c r="A52" i="13"/>
  <c r="AH51" i="13"/>
  <c r="AE51" i="13"/>
  <c r="AI51" i="13" s="1"/>
  <c r="AB51" i="13"/>
  <c r="Y51" i="13"/>
  <c r="V51" i="13"/>
  <c r="D51" i="13"/>
  <c r="C51" i="13"/>
  <c r="B51" i="13"/>
  <c r="A51" i="13"/>
  <c r="AH50" i="13"/>
  <c r="AE50" i="13"/>
  <c r="AI50" i="13" s="1"/>
  <c r="AB50" i="13"/>
  <c r="Y50" i="13"/>
  <c r="V50" i="13"/>
  <c r="D50" i="13"/>
  <c r="C50" i="13"/>
  <c r="B50" i="13"/>
  <c r="A50" i="13"/>
  <c r="AH49" i="13"/>
  <c r="AE49" i="13"/>
  <c r="AI49" i="13" s="1"/>
  <c r="AB49" i="13"/>
  <c r="Y49" i="13"/>
  <c r="V49" i="13"/>
  <c r="D49" i="13"/>
  <c r="C49" i="13"/>
  <c r="B49" i="13"/>
  <c r="A49" i="13"/>
  <c r="AH48" i="13"/>
  <c r="AE48" i="13"/>
  <c r="AI48" i="13" s="1"/>
  <c r="AB48" i="13"/>
  <c r="Y48" i="13"/>
  <c r="V48" i="13"/>
  <c r="D48" i="13"/>
  <c r="C48" i="13"/>
  <c r="B48" i="13"/>
  <c r="A48" i="13"/>
  <c r="AH47" i="13"/>
  <c r="AE47" i="13"/>
  <c r="AI47" i="13" s="1"/>
  <c r="AB47" i="13"/>
  <c r="Y47" i="13"/>
  <c r="V47" i="13"/>
  <c r="D47" i="13"/>
  <c r="C47" i="13"/>
  <c r="B47" i="13"/>
  <c r="A47" i="13"/>
  <c r="AH46" i="13"/>
  <c r="AE46" i="13"/>
  <c r="AI46" i="13" s="1"/>
  <c r="AB46" i="13"/>
  <c r="Y46" i="13"/>
  <c r="V46" i="13"/>
  <c r="D46" i="13"/>
  <c r="C46" i="13"/>
  <c r="B46" i="13"/>
  <c r="A46" i="13"/>
  <c r="AH45" i="13"/>
  <c r="AE45" i="13"/>
  <c r="AI45" i="13" s="1"/>
  <c r="AB45" i="13"/>
  <c r="Y45" i="13"/>
  <c r="V45" i="13"/>
  <c r="D45" i="13"/>
  <c r="C45" i="13"/>
  <c r="B45" i="13"/>
  <c r="A45" i="13"/>
  <c r="AH44" i="13"/>
  <c r="AE44" i="13"/>
  <c r="AI44" i="13" s="1"/>
  <c r="AB44" i="13"/>
  <c r="Y44" i="13"/>
  <c r="V44" i="13"/>
  <c r="D44" i="13"/>
  <c r="C44" i="13"/>
  <c r="B44" i="13"/>
  <c r="A44" i="13"/>
  <c r="AH43" i="13"/>
  <c r="AE43" i="13"/>
  <c r="AI43" i="13" s="1"/>
  <c r="AB43" i="13"/>
  <c r="Y43" i="13"/>
  <c r="V43" i="13"/>
  <c r="D43" i="13"/>
  <c r="C43" i="13"/>
  <c r="B43" i="13"/>
  <c r="A43" i="13"/>
  <c r="AH42" i="13"/>
  <c r="AE42" i="13"/>
  <c r="AI42" i="13" s="1"/>
  <c r="AB42" i="13"/>
  <c r="Y42" i="13"/>
  <c r="V42" i="13"/>
  <c r="D42" i="13"/>
  <c r="C42" i="13"/>
  <c r="B42" i="13"/>
  <c r="A42" i="13"/>
  <c r="AH41" i="13"/>
  <c r="AE41" i="13"/>
  <c r="AI41" i="13" s="1"/>
  <c r="AB41" i="13"/>
  <c r="Y41" i="13"/>
  <c r="V41" i="13"/>
  <c r="D41" i="13"/>
  <c r="C41" i="13"/>
  <c r="B41" i="13"/>
  <c r="A41" i="13"/>
  <c r="AH40" i="13"/>
  <c r="AE40" i="13"/>
  <c r="AI40" i="13" s="1"/>
  <c r="AB40" i="13"/>
  <c r="Y40" i="13"/>
  <c r="V40" i="13"/>
  <c r="D40" i="13"/>
  <c r="C40" i="13"/>
  <c r="B40" i="13"/>
  <c r="A40" i="13"/>
  <c r="AH39" i="13"/>
  <c r="AE39" i="13"/>
  <c r="AI39" i="13" s="1"/>
  <c r="AB39" i="13"/>
  <c r="Y39" i="13"/>
  <c r="V39" i="13"/>
  <c r="D39" i="13"/>
  <c r="C39" i="13"/>
  <c r="B39" i="13"/>
  <c r="A39" i="13"/>
  <c r="AH38" i="13"/>
  <c r="AE38" i="13"/>
  <c r="AI38" i="13" s="1"/>
  <c r="AB38" i="13"/>
  <c r="Y38" i="13"/>
  <c r="V38" i="13"/>
  <c r="D38" i="13"/>
  <c r="C38" i="13"/>
  <c r="B38" i="13"/>
  <c r="A38" i="13"/>
  <c r="AH37" i="13"/>
  <c r="AE37" i="13"/>
  <c r="AI37" i="13" s="1"/>
  <c r="AB37" i="13"/>
  <c r="Y37" i="13"/>
  <c r="V37" i="13"/>
  <c r="D37" i="13"/>
  <c r="C37" i="13"/>
  <c r="B37" i="13"/>
  <c r="A37" i="13"/>
  <c r="AH36" i="13"/>
  <c r="AE36" i="13"/>
  <c r="AI36" i="13" s="1"/>
  <c r="AB36" i="13"/>
  <c r="Y36" i="13"/>
  <c r="V36" i="13"/>
  <c r="D36" i="13"/>
  <c r="C36" i="13"/>
  <c r="B36" i="13"/>
  <c r="A36" i="13"/>
  <c r="AH35" i="13"/>
  <c r="AE35" i="13"/>
  <c r="AI35" i="13" s="1"/>
  <c r="AB35" i="13"/>
  <c r="Y35" i="13"/>
  <c r="V35" i="13"/>
  <c r="D35" i="13"/>
  <c r="C35" i="13"/>
  <c r="B35" i="13"/>
  <c r="A35" i="13"/>
  <c r="AH34" i="13"/>
  <c r="AE34" i="13"/>
  <c r="AI34" i="13" s="1"/>
  <c r="AB34" i="13"/>
  <c r="Y34" i="13"/>
  <c r="V34" i="13"/>
  <c r="D34" i="13"/>
  <c r="C34" i="13"/>
  <c r="B34" i="13"/>
  <c r="A34" i="13"/>
  <c r="AH33" i="13"/>
  <c r="AE33" i="13"/>
  <c r="AI33" i="13" s="1"/>
  <c r="AB33" i="13"/>
  <c r="Y33" i="13"/>
  <c r="V33" i="13"/>
  <c r="D33" i="13"/>
  <c r="C33" i="13"/>
  <c r="B33" i="13"/>
  <c r="A33" i="13"/>
  <c r="AH32" i="13"/>
  <c r="AE32" i="13"/>
  <c r="AI32" i="13" s="1"/>
  <c r="AB32" i="13"/>
  <c r="Y32" i="13"/>
  <c r="V32" i="13"/>
  <c r="D32" i="13"/>
  <c r="C32" i="13"/>
  <c r="B32" i="13"/>
  <c r="A32" i="13"/>
  <c r="AH31" i="13"/>
  <c r="AE31" i="13"/>
  <c r="AI31" i="13" s="1"/>
  <c r="AB31" i="13"/>
  <c r="Y31" i="13"/>
  <c r="V31" i="13"/>
  <c r="D31" i="13"/>
  <c r="C31" i="13"/>
  <c r="B31" i="13"/>
  <c r="A31" i="13"/>
  <c r="AH30" i="13"/>
  <c r="AE30" i="13"/>
  <c r="AI30" i="13" s="1"/>
  <c r="AB30" i="13"/>
  <c r="Y30" i="13"/>
  <c r="V30" i="13"/>
  <c r="D30" i="13"/>
  <c r="C30" i="13"/>
  <c r="B30" i="13"/>
  <c r="A30" i="13"/>
  <c r="AH29" i="13"/>
  <c r="AE29" i="13"/>
  <c r="AI29" i="13" s="1"/>
  <c r="AB29" i="13"/>
  <c r="Y29" i="13"/>
  <c r="V29" i="13"/>
  <c r="D29" i="13"/>
  <c r="C29" i="13"/>
  <c r="B29" i="13"/>
  <c r="A29" i="13"/>
  <c r="AH28" i="13"/>
  <c r="AE28" i="13"/>
  <c r="AI28" i="13" s="1"/>
  <c r="AB28" i="13"/>
  <c r="Y28" i="13"/>
  <c r="V28" i="13"/>
  <c r="D28" i="13"/>
  <c r="C28" i="13"/>
  <c r="B28" i="13"/>
  <c r="A28" i="13"/>
  <c r="AH27" i="13"/>
  <c r="AE27" i="13"/>
  <c r="AI27" i="13" s="1"/>
  <c r="AB27" i="13"/>
  <c r="Y27" i="13"/>
  <c r="V27" i="13"/>
  <c r="D27" i="13"/>
  <c r="C27" i="13"/>
  <c r="B27" i="13"/>
  <c r="A27" i="13"/>
  <c r="AH26" i="13"/>
  <c r="AE26" i="13"/>
  <c r="AI26" i="13" s="1"/>
  <c r="AB26" i="13"/>
  <c r="Y26" i="13"/>
  <c r="V26" i="13"/>
  <c r="D26" i="13"/>
  <c r="C26" i="13"/>
  <c r="B26" i="13"/>
  <c r="A26" i="13"/>
  <c r="AH25" i="13"/>
  <c r="AE25" i="13"/>
  <c r="AI25" i="13" s="1"/>
  <c r="AB25" i="13"/>
  <c r="Y25" i="13"/>
  <c r="V25" i="13"/>
  <c r="D25" i="13"/>
  <c r="C25" i="13"/>
  <c r="B25" i="13"/>
  <c r="A25" i="13"/>
  <c r="AH24" i="13"/>
  <c r="AE24" i="13"/>
  <c r="AB24" i="13"/>
  <c r="Y24" i="13"/>
  <c r="V24" i="13"/>
  <c r="R24" i="13"/>
  <c r="O24" i="13"/>
  <c r="L24" i="13"/>
  <c r="I24" i="13"/>
  <c r="F24" i="13"/>
  <c r="D24" i="13"/>
  <c r="C24" i="13"/>
  <c r="B24" i="13"/>
  <c r="A24" i="13"/>
  <c r="AH23" i="13"/>
  <c r="AE23" i="13"/>
  <c r="AB23" i="13"/>
  <c r="Y23" i="13"/>
  <c r="V23" i="13"/>
  <c r="R23" i="13"/>
  <c r="O23" i="13"/>
  <c r="L23" i="13"/>
  <c r="I23" i="13"/>
  <c r="F23" i="13"/>
  <c r="D23" i="13"/>
  <c r="C23" i="13"/>
  <c r="B23" i="13"/>
  <c r="A23" i="13"/>
  <c r="AH22" i="13"/>
  <c r="AE22" i="13"/>
  <c r="AB22" i="13"/>
  <c r="Y22" i="13"/>
  <c r="V22" i="13"/>
  <c r="R22" i="13"/>
  <c r="O22" i="13"/>
  <c r="L22" i="13"/>
  <c r="I22" i="13"/>
  <c r="F22" i="13"/>
  <c r="D22" i="13"/>
  <c r="C22" i="13"/>
  <c r="B22" i="13"/>
  <c r="A22" i="13"/>
  <c r="AH21" i="13"/>
  <c r="AE21" i="13"/>
  <c r="AB21" i="13"/>
  <c r="Y21" i="13"/>
  <c r="V21" i="13"/>
  <c r="R21" i="13"/>
  <c r="O21" i="13"/>
  <c r="L21" i="13"/>
  <c r="I21" i="13"/>
  <c r="F21" i="13"/>
  <c r="D21" i="13"/>
  <c r="C21" i="13"/>
  <c r="B21" i="13"/>
  <c r="A21" i="13"/>
  <c r="AH20" i="13"/>
  <c r="AE20" i="13"/>
  <c r="AB20" i="13"/>
  <c r="Y20" i="13"/>
  <c r="V20" i="13"/>
  <c r="R20" i="13"/>
  <c r="O20" i="13"/>
  <c r="L20" i="13"/>
  <c r="I20" i="13"/>
  <c r="F20" i="13"/>
  <c r="D20" i="13"/>
  <c r="C20" i="13"/>
  <c r="B20" i="13"/>
  <c r="A20" i="13"/>
  <c r="AH19" i="13"/>
  <c r="AE19" i="13"/>
  <c r="AB19" i="13"/>
  <c r="Y19" i="13"/>
  <c r="V19" i="13"/>
  <c r="R19" i="13"/>
  <c r="O19" i="13"/>
  <c r="L19" i="13"/>
  <c r="I19" i="13"/>
  <c r="F19" i="13"/>
  <c r="D19" i="13"/>
  <c r="C19" i="13"/>
  <c r="B19" i="13"/>
  <c r="A19" i="13"/>
  <c r="AH18" i="13"/>
  <c r="AE18" i="13"/>
  <c r="AB18" i="13"/>
  <c r="Y18" i="13"/>
  <c r="V18" i="13"/>
  <c r="R18" i="13"/>
  <c r="O18" i="13"/>
  <c r="L18" i="13"/>
  <c r="I18" i="13"/>
  <c r="F18" i="13"/>
  <c r="D18" i="13"/>
  <c r="C18" i="13"/>
  <c r="B18" i="13"/>
  <c r="A18" i="13"/>
  <c r="AH17" i="13"/>
  <c r="AE17" i="13"/>
  <c r="AB17" i="13"/>
  <c r="Y17" i="13"/>
  <c r="V17" i="13"/>
  <c r="R17" i="13"/>
  <c r="O17" i="13"/>
  <c r="L17" i="13"/>
  <c r="I17" i="13"/>
  <c r="F17" i="13"/>
  <c r="D17" i="13"/>
  <c r="C17" i="13"/>
  <c r="B17" i="13"/>
  <c r="A17" i="13"/>
  <c r="AH16" i="13"/>
  <c r="AE16" i="13"/>
  <c r="AB16" i="13"/>
  <c r="Y16" i="13"/>
  <c r="V16" i="13"/>
  <c r="R16" i="13"/>
  <c r="O16" i="13"/>
  <c r="L16" i="13"/>
  <c r="I16" i="13"/>
  <c r="F16" i="13"/>
  <c r="D16" i="13"/>
  <c r="C16" i="13"/>
  <c r="B16" i="13"/>
  <c r="A16" i="13"/>
  <c r="AH15" i="13"/>
  <c r="AE15" i="13"/>
  <c r="AB15" i="13"/>
  <c r="Y15" i="13"/>
  <c r="V15" i="13"/>
  <c r="R15" i="13"/>
  <c r="O15" i="13"/>
  <c r="L15" i="13"/>
  <c r="I15" i="13"/>
  <c r="F15" i="13"/>
  <c r="D15" i="13"/>
  <c r="C15" i="13"/>
  <c r="B15" i="13"/>
  <c r="A15" i="13"/>
  <c r="AH14" i="13"/>
  <c r="AE14" i="13"/>
  <c r="AB14" i="13"/>
  <c r="Y14" i="13"/>
  <c r="V14" i="13"/>
  <c r="R14" i="13"/>
  <c r="O14" i="13"/>
  <c r="L14" i="13"/>
  <c r="I14" i="13"/>
  <c r="F14" i="13"/>
  <c r="D14" i="13"/>
  <c r="C14" i="13"/>
  <c r="B14" i="13"/>
  <c r="A14" i="13"/>
  <c r="AH13" i="13"/>
  <c r="AE13" i="13"/>
  <c r="AB13" i="13"/>
  <c r="Y13" i="13"/>
  <c r="V13" i="13"/>
  <c r="R13" i="13"/>
  <c r="O13" i="13"/>
  <c r="L13" i="13"/>
  <c r="I13" i="13"/>
  <c r="F13" i="13"/>
  <c r="D13" i="13"/>
  <c r="C13" i="13"/>
  <c r="B13" i="13"/>
  <c r="A13" i="13"/>
  <c r="AH12" i="13"/>
  <c r="AE12" i="13"/>
  <c r="AB12" i="13"/>
  <c r="Y12" i="13"/>
  <c r="V12" i="13"/>
  <c r="R12" i="13"/>
  <c r="O12" i="13"/>
  <c r="L12" i="13"/>
  <c r="I12" i="13"/>
  <c r="F12" i="13"/>
  <c r="D12" i="13"/>
  <c r="C12" i="13"/>
  <c r="B12" i="13"/>
  <c r="A12" i="13"/>
  <c r="AH11" i="13"/>
  <c r="AE11" i="13"/>
  <c r="AB11" i="13"/>
  <c r="Y11" i="13"/>
  <c r="V11" i="13"/>
  <c r="R11" i="13"/>
  <c r="O11" i="13"/>
  <c r="L11" i="13"/>
  <c r="I11" i="13"/>
  <c r="F11" i="13"/>
  <c r="D11" i="13"/>
  <c r="C11" i="13"/>
  <c r="B11" i="13"/>
  <c r="A11" i="13"/>
  <c r="AH10" i="13"/>
  <c r="AE10" i="13"/>
  <c r="AB10" i="13"/>
  <c r="Y10" i="13"/>
  <c r="V10" i="13"/>
  <c r="R10" i="13"/>
  <c r="O10" i="13"/>
  <c r="L10" i="13"/>
  <c r="I10" i="13"/>
  <c r="F10" i="13"/>
  <c r="D10" i="13"/>
  <c r="C10" i="13"/>
  <c r="B10" i="13"/>
  <c r="A10" i="13"/>
  <c r="AH9" i="13"/>
  <c r="AE9" i="13"/>
  <c r="AB9" i="13"/>
  <c r="Y9" i="13"/>
  <c r="V9" i="13"/>
  <c r="R9" i="13"/>
  <c r="O9" i="13"/>
  <c r="L9" i="13"/>
  <c r="I9" i="13"/>
  <c r="F9" i="13"/>
  <c r="D9" i="13"/>
  <c r="C9" i="13"/>
  <c r="B9" i="13"/>
  <c r="A9" i="13"/>
  <c r="AH8" i="13"/>
  <c r="AE8" i="13"/>
  <c r="AB8" i="13"/>
  <c r="Y8" i="13"/>
  <c r="V8" i="13"/>
  <c r="R8" i="13"/>
  <c r="O8" i="13"/>
  <c r="L8" i="13"/>
  <c r="I8" i="13"/>
  <c r="F8" i="13"/>
  <c r="D8" i="13"/>
  <c r="C8" i="13"/>
  <c r="B8" i="13"/>
  <c r="A8" i="13"/>
  <c r="AH7" i="13"/>
  <c r="AE7" i="13"/>
  <c r="AB7" i="13"/>
  <c r="Y7" i="13"/>
  <c r="V7" i="13"/>
  <c r="R7" i="13"/>
  <c r="O7" i="13"/>
  <c r="L7" i="13"/>
  <c r="I7" i="13"/>
  <c r="F7" i="13"/>
  <c r="D7" i="13"/>
  <c r="B7" i="13"/>
  <c r="A7" i="13"/>
  <c r="AH6" i="13"/>
  <c r="AE6" i="13"/>
  <c r="AB6" i="13"/>
  <c r="Y6" i="13"/>
  <c r="V6" i="13"/>
  <c r="R6" i="13"/>
  <c r="O6" i="13"/>
  <c r="L6" i="13"/>
  <c r="I6" i="13"/>
  <c r="F6" i="13"/>
  <c r="D6" i="13"/>
  <c r="C6" i="13"/>
  <c r="B6" i="13"/>
  <c r="A6" i="13"/>
  <c r="AS25" i="9"/>
  <c r="AS26" i="9"/>
  <c r="AS27" i="9"/>
  <c r="AS28" i="9"/>
  <c r="AS29" i="9"/>
  <c r="AS30" i="9"/>
  <c r="AS31" i="9"/>
  <c r="AS32" i="9"/>
  <c r="AS33" i="9"/>
  <c r="AS34" i="9"/>
  <c r="AS35" i="9"/>
  <c r="AS36" i="9"/>
  <c r="AS37" i="9"/>
  <c r="AS38" i="9"/>
  <c r="AS39" i="9"/>
  <c r="AS40" i="9"/>
  <c r="AS41" i="9"/>
  <c r="AS42" i="9"/>
  <c r="AS43" i="9"/>
  <c r="AS44" i="9"/>
  <c r="AS45" i="9"/>
  <c r="AS46" i="9"/>
  <c r="AS47" i="9"/>
  <c r="AS48" i="9"/>
  <c r="AS49" i="9"/>
  <c r="AS50" i="9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P44" i="9"/>
  <c r="AP45" i="9"/>
  <c r="AP46" i="9"/>
  <c r="AP47" i="9"/>
  <c r="AP48" i="9"/>
  <c r="AP49" i="9"/>
  <c r="AP50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I7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AY50" i="9"/>
  <c r="AV50" i="9"/>
  <c r="AM50" i="9"/>
  <c r="AY49" i="9"/>
  <c r="AV49" i="9"/>
  <c r="AM49" i="9"/>
  <c r="AY48" i="9"/>
  <c r="AV48" i="9"/>
  <c r="AM48" i="9"/>
  <c r="AY47" i="9"/>
  <c r="AV47" i="9"/>
  <c r="AM47" i="9"/>
  <c r="AY46" i="9"/>
  <c r="AV46" i="9"/>
  <c r="AM46" i="9"/>
  <c r="AY45" i="9"/>
  <c r="AV45" i="9"/>
  <c r="AM45" i="9"/>
  <c r="AY44" i="9"/>
  <c r="AV44" i="9"/>
  <c r="AM44" i="9"/>
  <c r="AY43" i="9"/>
  <c r="AV43" i="9"/>
  <c r="AM43" i="9"/>
  <c r="AY42" i="9"/>
  <c r="AV42" i="9"/>
  <c r="AM42" i="9"/>
  <c r="AY41" i="9"/>
  <c r="AV41" i="9"/>
  <c r="AM41" i="9"/>
  <c r="AY40" i="9"/>
  <c r="AV40" i="9"/>
  <c r="AM40" i="9"/>
  <c r="AY39" i="9"/>
  <c r="AV39" i="9"/>
  <c r="AM39" i="9"/>
  <c r="AY38" i="9"/>
  <c r="AV38" i="9"/>
  <c r="AM38" i="9"/>
  <c r="AY37" i="9"/>
  <c r="AV37" i="9"/>
  <c r="AM37" i="9"/>
  <c r="AY36" i="9"/>
  <c r="AV36" i="9"/>
  <c r="AM36" i="9"/>
  <c r="AY35" i="9"/>
  <c r="AV35" i="9"/>
  <c r="AM35" i="9"/>
  <c r="AY34" i="9"/>
  <c r="AV34" i="9"/>
  <c r="AM34" i="9"/>
  <c r="AY33" i="9"/>
  <c r="AV33" i="9"/>
  <c r="AM33" i="9"/>
  <c r="AY32" i="9"/>
  <c r="AV32" i="9"/>
  <c r="AM32" i="9"/>
  <c r="AY31" i="9"/>
  <c r="AV31" i="9"/>
  <c r="AM31" i="9"/>
  <c r="AY30" i="9"/>
  <c r="AV30" i="9"/>
  <c r="AM30" i="9"/>
  <c r="AY29" i="9"/>
  <c r="AV29" i="9"/>
  <c r="AM29" i="9"/>
  <c r="AY28" i="9"/>
  <c r="AV28" i="9"/>
  <c r="AM28" i="9"/>
  <c r="AY27" i="9"/>
  <c r="AV27" i="9"/>
  <c r="AM27" i="9"/>
  <c r="AY26" i="9"/>
  <c r="AV26" i="9"/>
  <c r="AM26" i="9"/>
  <c r="AY25" i="9"/>
  <c r="AV25" i="9"/>
  <c r="AM25" i="9"/>
  <c r="AY24" i="9"/>
  <c r="AV24" i="9"/>
  <c r="AS24" i="9"/>
  <c r="AP24" i="9"/>
  <c r="AM24" i="9"/>
  <c r="AY23" i="9"/>
  <c r="AV23" i="9"/>
  <c r="AS23" i="9"/>
  <c r="AP23" i="9"/>
  <c r="AM23" i="9"/>
  <c r="AY22" i="9"/>
  <c r="AV22" i="9"/>
  <c r="AS22" i="9"/>
  <c r="AP22" i="9"/>
  <c r="AM22" i="9"/>
  <c r="AY21" i="9"/>
  <c r="AV21" i="9"/>
  <c r="AS21" i="9"/>
  <c r="AP21" i="9"/>
  <c r="AM21" i="9"/>
  <c r="AY20" i="9"/>
  <c r="AV20" i="9"/>
  <c r="AS20" i="9"/>
  <c r="AP20" i="9"/>
  <c r="AM20" i="9"/>
  <c r="AZ20" i="9" s="1"/>
  <c r="AY19" i="9"/>
  <c r="AV19" i="9"/>
  <c r="AS19" i="9"/>
  <c r="AP19" i="9"/>
  <c r="AM19" i="9"/>
  <c r="AY18" i="9"/>
  <c r="AV18" i="9"/>
  <c r="AS18" i="9"/>
  <c r="AP18" i="9"/>
  <c r="AM18" i="9"/>
  <c r="AY17" i="9"/>
  <c r="AV17" i="9"/>
  <c r="AS17" i="9"/>
  <c r="AP17" i="9"/>
  <c r="AM17" i="9"/>
  <c r="AY16" i="9"/>
  <c r="AV16" i="9"/>
  <c r="AS16" i="9"/>
  <c r="AP16" i="9"/>
  <c r="AM16" i="9"/>
  <c r="AY15" i="9"/>
  <c r="AV15" i="9"/>
  <c r="AS15" i="9"/>
  <c r="AP15" i="9"/>
  <c r="AM15" i="9"/>
  <c r="AY14" i="9"/>
  <c r="AV14" i="9"/>
  <c r="AS14" i="9"/>
  <c r="AP14" i="9"/>
  <c r="AM14" i="9"/>
  <c r="AY13" i="9"/>
  <c r="AV13" i="9"/>
  <c r="AS13" i="9"/>
  <c r="AP13" i="9"/>
  <c r="AM13" i="9"/>
  <c r="AY12" i="9"/>
  <c r="AV12" i="9"/>
  <c r="AS12" i="9"/>
  <c r="AP12" i="9"/>
  <c r="AM12" i="9"/>
  <c r="AY11" i="9"/>
  <c r="AV11" i="9"/>
  <c r="AS11" i="9"/>
  <c r="AP11" i="9"/>
  <c r="AM11" i="9"/>
  <c r="AY10" i="9"/>
  <c r="AV10" i="9"/>
  <c r="AS10" i="9"/>
  <c r="AP10" i="9"/>
  <c r="AM10" i="9"/>
  <c r="AY9" i="9"/>
  <c r="AV9" i="9"/>
  <c r="AS9" i="9"/>
  <c r="AP9" i="9"/>
  <c r="AM9" i="9"/>
  <c r="AY8" i="9"/>
  <c r="AV8" i="9"/>
  <c r="AS8" i="9"/>
  <c r="AP8" i="9"/>
  <c r="AM8" i="9"/>
  <c r="AY7" i="9"/>
  <c r="AV7" i="9"/>
  <c r="AS7" i="9"/>
  <c r="AP7" i="9"/>
  <c r="AM7" i="9"/>
  <c r="AY6" i="9"/>
  <c r="AV6" i="9"/>
  <c r="AS6" i="9"/>
  <c r="AP6" i="9"/>
  <c r="AM6" i="9"/>
  <c r="AI50" i="9"/>
  <c r="AF50" i="9"/>
  <c r="W50" i="9"/>
  <c r="AJ50" i="9" s="1"/>
  <c r="AI49" i="9"/>
  <c r="AF49" i="9"/>
  <c r="W49" i="9"/>
  <c r="AJ49" i="9" s="1"/>
  <c r="AI48" i="9"/>
  <c r="AF48" i="9"/>
  <c r="W48" i="9"/>
  <c r="AJ48" i="9" s="1"/>
  <c r="AI47" i="9"/>
  <c r="AF47" i="9"/>
  <c r="W47" i="9"/>
  <c r="AJ47" i="9" s="1"/>
  <c r="AI46" i="9"/>
  <c r="AF46" i="9"/>
  <c r="W46" i="9"/>
  <c r="AJ46" i="9" s="1"/>
  <c r="AI45" i="9"/>
  <c r="AF45" i="9"/>
  <c r="W45" i="9"/>
  <c r="AJ45" i="9" s="1"/>
  <c r="AI44" i="9"/>
  <c r="AF44" i="9"/>
  <c r="W44" i="9"/>
  <c r="AJ44" i="9" s="1"/>
  <c r="AI43" i="9"/>
  <c r="AF43" i="9"/>
  <c r="W43" i="9"/>
  <c r="AJ43" i="9" s="1"/>
  <c r="AI42" i="9"/>
  <c r="AF42" i="9"/>
  <c r="W42" i="9"/>
  <c r="AJ42" i="9" s="1"/>
  <c r="AI41" i="9"/>
  <c r="AF41" i="9"/>
  <c r="W41" i="9"/>
  <c r="AJ41" i="9" s="1"/>
  <c r="AI40" i="9"/>
  <c r="AF40" i="9"/>
  <c r="W40" i="9"/>
  <c r="AJ40" i="9" s="1"/>
  <c r="AI39" i="9"/>
  <c r="AF39" i="9"/>
  <c r="W39" i="9"/>
  <c r="AJ39" i="9" s="1"/>
  <c r="AI38" i="9"/>
  <c r="AF38" i="9"/>
  <c r="W38" i="9"/>
  <c r="AJ38" i="9" s="1"/>
  <c r="AI37" i="9"/>
  <c r="AF37" i="9"/>
  <c r="W37" i="9"/>
  <c r="AJ37" i="9" s="1"/>
  <c r="AI36" i="9"/>
  <c r="AF36" i="9"/>
  <c r="W36" i="9"/>
  <c r="AJ36" i="9" s="1"/>
  <c r="AI35" i="9"/>
  <c r="AF35" i="9"/>
  <c r="W35" i="9"/>
  <c r="AJ35" i="9" s="1"/>
  <c r="AI34" i="9"/>
  <c r="AF34" i="9"/>
  <c r="W34" i="9"/>
  <c r="AJ34" i="9" s="1"/>
  <c r="AI33" i="9"/>
  <c r="AF33" i="9"/>
  <c r="W33" i="9"/>
  <c r="AJ33" i="9" s="1"/>
  <c r="AI32" i="9"/>
  <c r="AF32" i="9"/>
  <c r="W32" i="9"/>
  <c r="AJ32" i="9" s="1"/>
  <c r="AI31" i="9"/>
  <c r="AF31" i="9"/>
  <c r="W31" i="9"/>
  <c r="AJ31" i="9" s="1"/>
  <c r="AI30" i="9"/>
  <c r="AF30" i="9"/>
  <c r="W30" i="9"/>
  <c r="AJ30" i="9" s="1"/>
  <c r="AI29" i="9"/>
  <c r="AF29" i="9"/>
  <c r="W29" i="9"/>
  <c r="AJ29" i="9" s="1"/>
  <c r="AI28" i="9"/>
  <c r="AF28" i="9"/>
  <c r="W28" i="9"/>
  <c r="AJ28" i="9" s="1"/>
  <c r="AI27" i="9"/>
  <c r="AF27" i="9"/>
  <c r="W27" i="9"/>
  <c r="AJ27" i="9" s="1"/>
  <c r="AI26" i="9"/>
  <c r="AF26" i="9"/>
  <c r="W26" i="9"/>
  <c r="AJ26" i="9" s="1"/>
  <c r="AI25" i="9"/>
  <c r="AF25" i="9"/>
  <c r="W25" i="9"/>
  <c r="AJ25" i="9" s="1"/>
  <c r="AI24" i="9"/>
  <c r="AF24" i="9"/>
  <c r="AC24" i="9"/>
  <c r="Z24" i="9"/>
  <c r="W24" i="9"/>
  <c r="AJ24" i="9" s="1"/>
  <c r="AI23" i="9"/>
  <c r="AF23" i="9"/>
  <c r="AC23" i="9"/>
  <c r="Z23" i="9"/>
  <c r="W23" i="9"/>
  <c r="AJ23" i="9" s="1"/>
  <c r="AI22" i="9"/>
  <c r="AF22" i="9"/>
  <c r="AC22" i="9"/>
  <c r="Z22" i="9"/>
  <c r="W22" i="9"/>
  <c r="AJ22" i="9" s="1"/>
  <c r="AI21" i="9"/>
  <c r="AF21" i="9"/>
  <c r="AC21" i="9"/>
  <c r="Z21" i="9"/>
  <c r="W21" i="9"/>
  <c r="AJ21" i="9" s="1"/>
  <c r="AI20" i="9"/>
  <c r="AF20" i="9"/>
  <c r="AC20" i="9"/>
  <c r="Z20" i="9"/>
  <c r="W20" i="9"/>
  <c r="AI19" i="9"/>
  <c r="AF19" i="9"/>
  <c r="AC19" i="9"/>
  <c r="Z19" i="9"/>
  <c r="W19" i="9"/>
  <c r="AJ19" i="9" s="1"/>
  <c r="AI18" i="9"/>
  <c r="AF18" i="9"/>
  <c r="AC18" i="9"/>
  <c r="Z18" i="9"/>
  <c r="W18" i="9"/>
  <c r="AJ18" i="9" s="1"/>
  <c r="AI17" i="9"/>
  <c r="AF17" i="9"/>
  <c r="AC17" i="9"/>
  <c r="Z17" i="9"/>
  <c r="W17" i="9"/>
  <c r="AJ17" i="9" s="1"/>
  <c r="AI16" i="9"/>
  <c r="AF16" i="9"/>
  <c r="AC16" i="9"/>
  <c r="Z16" i="9"/>
  <c r="W16" i="9"/>
  <c r="AI15" i="9"/>
  <c r="AF15" i="9"/>
  <c r="AC15" i="9"/>
  <c r="Z15" i="9"/>
  <c r="W15" i="9"/>
  <c r="AI14" i="9"/>
  <c r="AF14" i="9"/>
  <c r="AC14" i="9"/>
  <c r="Z14" i="9"/>
  <c r="W14" i="9"/>
  <c r="AI13" i="9"/>
  <c r="AF13" i="9"/>
  <c r="AC13" i="9"/>
  <c r="Z13" i="9"/>
  <c r="W13" i="9"/>
  <c r="AI12" i="9"/>
  <c r="AF12" i="9"/>
  <c r="AC12" i="9"/>
  <c r="Z12" i="9"/>
  <c r="W12" i="9"/>
  <c r="AI11" i="9"/>
  <c r="AF11" i="9"/>
  <c r="AC11" i="9"/>
  <c r="Z11" i="9"/>
  <c r="W11" i="9"/>
  <c r="AI10" i="9"/>
  <c r="AF10" i="9"/>
  <c r="AC10" i="9"/>
  <c r="Z10" i="9"/>
  <c r="W10" i="9"/>
  <c r="AI9" i="9"/>
  <c r="AF9" i="9"/>
  <c r="AC9" i="9"/>
  <c r="Z9" i="9"/>
  <c r="W9" i="9"/>
  <c r="AI8" i="9"/>
  <c r="AF8" i="9"/>
  <c r="AC8" i="9"/>
  <c r="Z8" i="9"/>
  <c r="W8" i="9"/>
  <c r="AI7" i="9"/>
  <c r="AF7" i="9"/>
  <c r="AC7" i="9"/>
  <c r="Z7" i="9"/>
  <c r="W7" i="9"/>
  <c r="AI6" i="9"/>
  <c r="AF6" i="9"/>
  <c r="AC6" i="9"/>
  <c r="Z6" i="9"/>
  <c r="W6" i="9"/>
  <c r="AJ20" i="9" l="1"/>
  <c r="AZ9" i="9"/>
  <c r="AZ13" i="9"/>
  <c r="S8" i="13"/>
  <c r="S10" i="13"/>
  <c r="S12" i="13"/>
  <c r="S14" i="13"/>
  <c r="S16" i="13"/>
  <c r="S18" i="13"/>
  <c r="S20" i="13"/>
  <c r="S22" i="13"/>
  <c r="S24" i="13"/>
  <c r="AJ6" i="9"/>
  <c r="AJ7" i="9"/>
  <c r="AJ10" i="9"/>
  <c r="AJ11" i="9"/>
  <c r="AJ14" i="9"/>
  <c r="AJ15" i="9"/>
  <c r="AZ6" i="9"/>
  <c r="AZ10" i="9"/>
  <c r="AZ14" i="9"/>
  <c r="AJ8" i="9"/>
  <c r="AJ9" i="9"/>
  <c r="AJ12" i="9"/>
  <c r="AJ13" i="9"/>
  <c r="AJ16" i="9"/>
  <c r="AZ8" i="9"/>
  <c r="AZ12" i="9"/>
  <c r="AZ16" i="9"/>
  <c r="S6" i="13"/>
  <c r="AI8" i="13"/>
  <c r="AI10" i="13"/>
  <c r="AI12" i="13"/>
  <c r="AI14" i="13"/>
  <c r="AI16" i="13"/>
  <c r="AI18" i="13"/>
  <c r="AI20" i="13"/>
  <c r="AI22" i="13"/>
  <c r="AI24" i="13"/>
  <c r="AZ7" i="9"/>
  <c r="AZ11" i="9"/>
  <c r="AZ15" i="9"/>
  <c r="AI6" i="13"/>
  <c r="S7" i="13"/>
  <c r="S9" i="13"/>
  <c r="S11" i="13"/>
  <c r="S13" i="13"/>
  <c r="S15" i="13"/>
  <c r="S17" i="13"/>
  <c r="S19" i="13"/>
  <c r="S21" i="13"/>
  <c r="S23" i="13"/>
  <c r="AI7" i="13"/>
  <c r="AI9" i="13"/>
  <c r="AI11" i="13"/>
  <c r="AI13" i="13"/>
  <c r="AI15" i="13"/>
  <c r="AI17" i="13"/>
  <c r="AI19" i="13"/>
  <c r="AI21" i="13"/>
  <c r="AI23" i="13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F18" i="9"/>
  <c r="T18" i="9" s="1"/>
  <c r="F19" i="9"/>
  <c r="T19" i="9" s="1"/>
  <c r="F20" i="9"/>
  <c r="T20" i="9" s="1"/>
  <c r="F21" i="9"/>
  <c r="T21" i="9" s="1"/>
  <c r="F22" i="9"/>
  <c r="T22" i="9" s="1"/>
  <c r="F23" i="9"/>
  <c r="T23" i="9" s="1"/>
  <c r="F24" i="9"/>
  <c r="T24" i="9" s="1"/>
  <c r="F25" i="9"/>
  <c r="T25" i="9" s="1"/>
  <c r="F26" i="9"/>
  <c r="T26" i="9" s="1"/>
  <c r="F27" i="9"/>
  <c r="T27" i="9" s="1"/>
  <c r="F28" i="9"/>
  <c r="T28" i="9" s="1"/>
  <c r="F29" i="9"/>
  <c r="T29" i="9" s="1"/>
  <c r="F30" i="9"/>
  <c r="T30" i="9" s="1"/>
  <c r="F31" i="9"/>
  <c r="T31" i="9" s="1"/>
  <c r="F32" i="9"/>
  <c r="T32" i="9" s="1"/>
  <c r="F33" i="9"/>
  <c r="T33" i="9" s="1"/>
  <c r="F34" i="9"/>
  <c r="T34" i="9" s="1"/>
  <c r="F35" i="9"/>
  <c r="T35" i="9" s="1"/>
  <c r="F36" i="9"/>
  <c r="T36" i="9" s="1"/>
  <c r="F37" i="9"/>
  <c r="T37" i="9" s="1"/>
  <c r="F38" i="9"/>
  <c r="T38" i="9" s="1"/>
  <c r="F39" i="9"/>
  <c r="T39" i="9" s="1"/>
  <c r="F40" i="9"/>
  <c r="T40" i="9" s="1"/>
  <c r="F41" i="9"/>
  <c r="T41" i="9" s="1"/>
  <c r="F42" i="9"/>
  <c r="T42" i="9" s="1"/>
  <c r="F43" i="9"/>
  <c r="T43" i="9" s="1"/>
  <c r="F44" i="9"/>
  <c r="T44" i="9" s="1"/>
  <c r="F45" i="9"/>
  <c r="T45" i="9" s="1"/>
  <c r="F46" i="9"/>
  <c r="T46" i="9" s="1"/>
  <c r="F47" i="9"/>
  <c r="T47" i="9" s="1"/>
  <c r="F48" i="9"/>
  <c r="T48" i="9" s="1"/>
  <c r="F49" i="9"/>
  <c r="T49" i="9" s="1"/>
  <c r="F50" i="9"/>
  <c r="T50" i="9" s="1"/>
  <c r="P24" i="9"/>
  <c r="M24" i="9"/>
  <c r="P23" i="9"/>
  <c r="M23" i="9"/>
  <c r="P22" i="9"/>
  <c r="M22" i="9"/>
  <c r="P21" i="9"/>
  <c r="M21" i="9"/>
  <c r="P20" i="9"/>
  <c r="M20" i="9"/>
  <c r="P19" i="9"/>
  <c r="M19" i="9"/>
  <c r="P18" i="9"/>
  <c r="M18" i="9"/>
  <c r="P17" i="9"/>
  <c r="M17" i="9"/>
  <c r="F17" i="9"/>
  <c r="T17" i="9" s="1"/>
  <c r="P16" i="9"/>
  <c r="M16" i="9"/>
  <c r="F16" i="9"/>
  <c r="P15" i="9"/>
  <c r="M15" i="9"/>
  <c r="F15" i="9"/>
  <c r="P14" i="9"/>
  <c r="M14" i="9"/>
  <c r="F14" i="9"/>
  <c r="P13" i="9"/>
  <c r="M13" i="9"/>
  <c r="F13" i="9"/>
  <c r="P12" i="9"/>
  <c r="M12" i="9"/>
  <c r="F12" i="9"/>
  <c r="P11" i="9"/>
  <c r="M11" i="9"/>
  <c r="F11" i="9"/>
  <c r="P10" i="9"/>
  <c r="M10" i="9"/>
  <c r="F10" i="9"/>
  <c r="P9" i="9"/>
  <c r="M9" i="9"/>
  <c r="F9" i="9"/>
  <c r="P8" i="9"/>
  <c r="M8" i="9"/>
  <c r="F8" i="9"/>
  <c r="P7" i="9"/>
  <c r="M7" i="9"/>
  <c r="F7" i="9"/>
  <c r="S6" i="9"/>
  <c r="P6" i="9"/>
  <c r="M6" i="9"/>
  <c r="I6" i="9"/>
  <c r="F6" i="9"/>
  <c r="T9" i="9" l="1"/>
  <c r="T13" i="9"/>
  <c r="T8" i="9"/>
  <c r="T12" i="9"/>
  <c r="T16" i="9"/>
  <c r="T7" i="9"/>
  <c r="T11" i="9"/>
  <c r="T15" i="9"/>
  <c r="T10" i="9"/>
  <c r="T14" i="9"/>
  <c r="T6" i="9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S6" i="11"/>
  <c r="P6" i="11"/>
  <c r="M6" i="11"/>
  <c r="I6" i="11"/>
  <c r="T6" i="11" l="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6" i="9"/>
  <c r="C6" i="9"/>
  <c r="C7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6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6" i="9"/>
  <c r="AE10" i="5" l="1"/>
  <c r="AE11" i="5"/>
  <c r="AE12" i="5"/>
  <c r="AE14" i="5"/>
  <c r="AE13" i="5"/>
  <c r="AE15" i="5"/>
  <c r="AE16" i="5"/>
  <c r="AE17" i="5"/>
  <c r="AE18" i="5"/>
  <c r="AE19" i="5"/>
  <c r="AE20" i="5"/>
  <c r="AE22" i="5"/>
  <c r="AE23" i="5"/>
  <c r="AE24" i="5"/>
  <c r="AE25" i="5"/>
  <c r="AE26" i="5"/>
  <c r="AE27" i="5"/>
  <c r="AE21" i="5"/>
  <c r="AE28" i="5"/>
  <c r="AE29" i="5"/>
  <c r="AE30" i="5"/>
  <c r="AE32" i="5"/>
  <c r="AE33" i="5"/>
  <c r="AE34" i="5"/>
  <c r="AE35" i="5"/>
  <c r="AE31" i="5"/>
  <c r="AE36" i="5"/>
  <c r="AE37" i="5"/>
  <c r="AE38" i="5"/>
  <c r="AE39" i="5"/>
  <c r="AE40" i="5"/>
  <c r="AE41" i="5"/>
  <c r="AE42" i="5"/>
  <c r="AE45" i="5"/>
  <c r="AE44" i="5"/>
  <c r="AE43" i="5"/>
  <c r="AE46" i="5"/>
  <c r="AE47" i="5"/>
  <c r="AE48" i="5"/>
  <c r="AE49" i="5"/>
  <c r="AE50" i="5"/>
  <c r="AE51" i="5"/>
  <c r="AE53" i="5"/>
  <c r="AE52" i="5"/>
  <c r="AE54" i="5"/>
  <c r="AE55" i="5"/>
  <c r="AE56" i="5"/>
  <c r="AE57" i="5"/>
  <c r="I57" i="2"/>
  <c r="J57" i="2"/>
  <c r="K57" i="2"/>
  <c r="L57" i="2"/>
  <c r="I56" i="2"/>
  <c r="J56" i="2"/>
  <c r="K56" i="2"/>
  <c r="L56" i="2"/>
  <c r="I55" i="2"/>
  <c r="J55" i="2"/>
  <c r="K55" i="2"/>
  <c r="L55" i="2"/>
  <c r="I54" i="2"/>
  <c r="J54" i="2"/>
  <c r="K54" i="2"/>
  <c r="L54" i="2"/>
  <c r="H11" i="2"/>
  <c r="M11" i="2" s="1"/>
  <c r="H12" i="2"/>
  <c r="M12" i="2" s="1"/>
  <c r="H13" i="2"/>
  <c r="M13" i="2" s="1"/>
  <c r="H14" i="2"/>
  <c r="M14" i="2" s="1"/>
  <c r="H15" i="2"/>
  <c r="M15" i="2" s="1"/>
  <c r="H16" i="2"/>
  <c r="M16" i="2" s="1"/>
  <c r="H17" i="2"/>
  <c r="M17" i="2" s="1"/>
  <c r="H18" i="2"/>
  <c r="M18" i="2" s="1"/>
  <c r="H19" i="2"/>
  <c r="M19" i="2" s="1"/>
  <c r="H20" i="2"/>
  <c r="M20" i="2" s="1"/>
  <c r="H21" i="2"/>
  <c r="M21" i="2" s="1"/>
  <c r="H22" i="2"/>
  <c r="M22" i="2" s="1"/>
  <c r="H23" i="2"/>
  <c r="M23" i="2" s="1"/>
  <c r="H24" i="2"/>
  <c r="M24" i="2" s="1"/>
  <c r="H25" i="2"/>
  <c r="M25" i="2" s="1"/>
  <c r="H26" i="2"/>
  <c r="M26" i="2" s="1"/>
  <c r="H27" i="2"/>
  <c r="M27" i="2" s="1"/>
  <c r="H28" i="2"/>
  <c r="M28" i="2" s="1"/>
  <c r="H29" i="2"/>
  <c r="M29" i="2" s="1"/>
  <c r="H30" i="2"/>
  <c r="M30" i="2" s="1"/>
  <c r="H31" i="2"/>
  <c r="M31" i="2" s="1"/>
  <c r="H32" i="2"/>
  <c r="M32" i="2" s="1"/>
  <c r="H33" i="2"/>
  <c r="M33" i="2" s="1"/>
  <c r="H34" i="2"/>
  <c r="M34" i="2" s="1"/>
  <c r="H35" i="2"/>
  <c r="M35" i="2" s="1"/>
  <c r="H36" i="2"/>
  <c r="M36" i="2" s="1"/>
  <c r="H37" i="2"/>
  <c r="M37" i="2" s="1"/>
  <c r="H38" i="2"/>
  <c r="M38" i="2" s="1"/>
  <c r="H39" i="2"/>
  <c r="M39" i="2" s="1"/>
  <c r="H40" i="2"/>
  <c r="M40" i="2" s="1"/>
  <c r="H41" i="2"/>
  <c r="M41" i="2" s="1"/>
  <c r="H42" i="2"/>
  <c r="M42" i="2" s="1"/>
  <c r="H43" i="2"/>
  <c r="M43" i="2" s="1"/>
  <c r="H44" i="2"/>
  <c r="M44" i="2" s="1"/>
  <c r="H45" i="2"/>
  <c r="M45" i="2" s="1"/>
  <c r="H46" i="2"/>
  <c r="M46" i="2" s="1"/>
  <c r="H47" i="2"/>
  <c r="M47" i="2" s="1"/>
  <c r="H48" i="2"/>
  <c r="M48" i="2" s="1"/>
  <c r="H49" i="2"/>
  <c r="M49" i="2" s="1"/>
  <c r="H50" i="2"/>
  <c r="M50" i="2" s="1"/>
  <c r="H51" i="2"/>
  <c r="M51" i="2" s="1"/>
  <c r="H52" i="2"/>
  <c r="M52" i="2" s="1"/>
  <c r="H53" i="2"/>
  <c r="M53" i="2" s="1"/>
  <c r="H10" i="2"/>
  <c r="G54" i="2"/>
  <c r="G55" i="2"/>
  <c r="G56" i="2"/>
  <c r="G57" i="2"/>
  <c r="H57" i="2" l="1"/>
  <c r="M10" i="2"/>
  <c r="M55" i="2" s="1"/>
  <c r="H54" i="2"/>
  <c r="H55" i="2"/>
  <c r="H56" i="2"/>
  <c r="H11" i="5"/>
  <c r="H12" i="5"/>
  <c r="H14" i="5"/>
  <c r="H13" i="5"/>
  <c r="H15" i="5"/>
  <c r="H16" i="5"/>
  <c r="H17" i="5"/>
  <c r="H18" i="5"/>
  <c r="H19" i="5"/>
  <c r="H20" i="5"/>
  <c r="H22" i="5"/>
  <c r="H23" i="5"/>
  <c r="H24" i="5"/>
  <c r="H25" i="5"/>
  <c r="H26" i="5"/>
  <c r="H27" i="5"/>
  <c r="H21" i="5"/>
  <c r="H28" i="5"/>
  <c r="H29" i="5"/>
  <c r="H30" i="5"/>
  <c r="H32" i="5"/>
  <c r="H33" i="5"/>
  <c r="H34" i="5"/>
  <c r="H35" i="5"/>
  <c r="H31" i="5"/>
  <c r="H36" i="5"/>
  <c r="H37" i="5"/>
  <c r="H38" i="5"/>
  <c r="H39" i="5"/>
  <c r="H40" i="5"/>
  <c r="H41" i="5"/>
  <c r="H42" i="5"/>
  <c r="H45" i="5"/>
  <c r="H44" i="5"/>
  <c r="H43" i="5"/>
  <c r="H46" i="5"/>
  <c r="H47" i="5"/>
  <c r="H48" i="5"/>
  <c r="H49" i="5"/>
  <c r="H50" i="5"/>
  <c r="H51" i="5"/>
  <c r="H53" i="5"/>
  <c r="H52" i="5"/>
  <c r="H54" i="5"/>
  <c r="H55" i="5"/>
  <c r="H56" i="5"/>
  <c r="H57" i="5"/>
  <c r="H10" i="5"/>
  <c r="U11" i="5"/>
  <c r="U12" i="5"/>
  <c r="U14" i="5"/>
  <c r="U13" i="5"/>
  <c r="U15" i="5"/>
  <c r="U16" i="5"/>
  <c r="U17" i="5"/>
  <c r="U18" i="5"/>
  <c r="U19" i="5"/>
  <c r="U20" i="5"/>
  <c r="U22" i="5"/>
  <c r="U23" i="5"/>
  <c r="U24" i="5"/>
  <c r="U25" i="5"/>
  <c r="U26" i="5"/>
  <c r="U27" i="5"/>
  <c r="U21" i="5"/>
  <c r="U28" i="5"/>
  <c r="U29" i="5"/>
  <c r="U30" i="5"/>
  <c r="U32" i="5"/>
  <c r="U33" i="5"/>
  <c r="U34" i="5"/>
  <c r="U35" i="5"/>
  <c r="U31" i="5"/>
  <c r="U36" i="5"/>
  <c r="U37" i="5"/>
  <c r="U38" i="5"/>
  <c r="U39" i="5"/>
  <c r="U40" i="5"/>
  <c r="U41" i="5"/>
  <c r="U42" i="5"/>
  <c r="U45" i="5"/>
  <c r="U44" i="5"/>
  <c r="U43" i="5"/>
  <c r="U46" i="5"/>
  <c r="U47" i="5"/>
  <c r="U48" i="5"/>
  <c r="U49" i="5"/>
  <c r="U50" i="5"/>
  <c r="U51" i="5"/>
  <c r="U53" i="5"/>
  <c r="U52" i="5"/>
  <c r="U54" i="5"/>
  <c r="U55" i="5"/>
  <c r="U56" i="5"/>
  <c r="U57" i="5"/>
  <c r="U10" i="5"/>
  <c r="P11" i="5"/>
  <c r="P12" i="5"/>
  <c r="P14" i="5"/>
  <c r="P13" i="5"/>
  <c r="P15" i="5"/>
  <c r="P16" i="5"/>
  <c r="P17" i="5"/>
  <c r="P18" i="5"/>
  <c r="P19" i="5"/>
  <c r="P20" i="5"/>
  <c r="P22" i="5"/>
  <c r="P23" i="5"/>
  <c r="P24" i="5"/>
  <c r="P25" i="5"/>
  <c r="P26" i="5"/>
  <c r="P27" i="5"/>
  <c r="P21" i="5"/>
  <c r="P28" i="5"/>
  <c r="P29" i="5"/>
  <c r="P30" i="5"/>
  <c r="P32" i="5"/>
  <c r="P33" i="5"/>
  <c r="P34" i="5"/>
  <c r="P35" i="5"/>
  <c r="P31" i="5"/>
  <c r="P36" i="5"/>
  <c r="P37" i="5"/>
  <c r="P38" i="5"/>
  <c r="P39" i="5"/>
  <c r="P40" i="5"/>
  <c r="P41" i="5"/>
  <c r="P42" i="5"/>
  <c r="P45" i="5"/>
  <c r="P44" i="5"/>
  <c r="P43" i="5"/>
  <c r="P46" i="5"/>
  <c r="P47" i="5"/>
  <c r="P48" i="5"/>
  <c r="P49" i="5"/>
  <c r="P50" i="5"/>
  <c r="P51" i="5"/>
  <c r="P53" i="5"/>
  <c r="P52" i="5"/>
  <c r="P54" i="5"/>
  <c r="P55" i="5"/>
  <c r="P56" i="5"/>
  <c r="P57" i="5"/>
  <c r="P10" i="5"/>
  <c r="H63" i="7"/>
  <c r="P11" i="7"/>
  <c r="S11" i="7" s="1"/>
  <c r="P12" i="7"/>
  <c r="S12" i="7" s="1"/>
  <c r="P13" i="7"/>
  <c r="S13" i="7" s="1"/>
  <c r="P14" i="7"/>
  <c r="P15" i="7"/>
  <c r="S15" i="7" s="1"/>
  <c r="P16" i="7"/>
  <c r="S16" i="7" s="1"/>
  <c r="P17" i="7"/>
  <c r="S17" i="7" s="1"/>
  <c r="P18" i="7"/>
  <c r="S18" i="7" s="1"/>
  <c r="P19" i="7"/>
  <c r="S19" i="7" s="1"/>
  <c r="P20" i="7"/>
  <c r="S20" i="7" s="1"/>
  <c r="P21" i="7"/>
  <c r="S21" i="7" s="1"/>
  <c r="P22" i="7"/>
  <c r="S22" i="7" s="1"/>
  <c r="P23" i="7"/>
  <c r="S23" i="7" s="1"/>
  <c r="P24" i="7"/>
  <c r="P25" i="7"/>
  <c r="S25" i="7" s="1"/>
  <c r="P26" i="7"/>
  <c r="S26" i="7" s="1"/>
  <c r="P27" i="7"/>
  <c r="S27" i="7" s="1"/>
  <c r="P28" i="7"/>
  <c r="S28" i="7" s="1"/>
  <c r="P29" i="7"/>
  <c r="S29" i="7" s="1"/>
  <c r="P30" i="7"/>
  <c r="S30" i="7" s="1"/>
  <c r="P31" i="7"/>
  <c r="S31" i="7" s="1"/>
  <c r="P32" i="7"/>
  <c r="P33" i="7"/>
  <c r="S33" i="7" s="1"/>
  <c r="P34" i="7"/>
  <c r="S34" i="7" s="1"/>
  <c r="P35" i="7"/>
  <c r="S35" i="7" s="1"/>
  <c r="P36" i="7"/>
  <c r="S36" i="7" s="1"/>
  <c r="P37" i="7"/>
  <c r="S37" i="7" s="1"/>
  <c r="P38" i="7"/>
  <c r="S38" i="7" s="1"/>
  <c r="P39" i="7"/>
  <c r="S39" i="7" s="1"/>
  <c r="P40" i="7"/>
  <c r="S40" i="7" s="1"/>
  <c r="P41" i="7"/>
  <c r="S41" i="7" s="1"/>
  <c r="P42" i="7"/>
  <c r="S42" i="7" s="1"/>
  <c r="P43" i="7"/>
  <c r="S43" i="7" s="1"/>
  <c r="P44" i="7"/>
  <c r="S44" i="7" s="1"/>
  <c r="P45" i="7"/>
  <c r="S45" i="7" s="1"/>
  <c r="P46" i="7"/>
  <c r="S46" i="7" s="1"/>
  <c r="P47" i="7"/>
  <c r="S47" i="7" s="1"/>
  <c r="P48" i="7"/>
  <c r="P49" i="7"/>
  <c r="S49" i="7" s="1"/>
  <c r="P50" i="7"/>
  <c r="S50" i="7" s="1"/>
  <c r="P51" i="7"/>
  <c r="S51" i="7" s="1"/>
  <c r="P52" i="7"/>
  <c r="S52" i="7" s="1"/>
  <c r="P53" i="7"/>
  <c r="S53" i="7" s="1"/>
  <c r="P54" i="7"/>
  <c r="S54" i="7" s="1"/>
  <c r="P55" i="7"/>
  <c r="S55" i="7" s="1"/>
  <c r="P56" i="7"/>
  <c r="S56" i="7" s="1"/>
  <c r="P57" i="7"/>
  <c r="S57" i="7" s="1"/>
  <c r="P58" i="7"/>
  <c r="S58" i="7" s="1"/>
  <c r="P59" i="7"/>
  <c r="S59" i="7" s="1"/>
  <c r="P10" i="7"/>
  <c r="S10" i="7" s="1"/>
  <c r="Q63" i="7"/>
  <c r="Q62" i="7"/>
  <c r="Q61" i="7"/>
  <c r="Q60" i="7"/>
  <c r="I63" i="7"/>
  <c r="J63" i="7"/>
  <c r="K63" i="7"/>
  <c r="I62" i="7"/>
  <c r="J62" i="7"/>
  <c r="K62" i="7"/>
  <c r="I61" i="7"/>
  <c r="J61" i="7"/>
  <c r="K61" i="7"/>
  <c r="I60" i="7"/>
  <c r="J60" i="7"/>
  <c r="K60" i="7"/>
  <c r="Q61" i="5"/>
  <c r="Q60" i="5"/>
  <c r="Q59" i="5"/>
  <c r="Q58" i="5"/>
  <c r="L53" i="7"/>
  <c r="N53" i="7" s="1"/>
  <c r="L54" i="7"/>
  <c r="N54" i="7" s="1"/>
  <c r="L55" i="7"/>
  <c r="N55" i="7" s="1"/>
  <c r="L56" i="7"/>
  <c r="L57" i="7"/>
  <c r="N57" i="7" s="1"/>
  <c r="L58" i="7"/>
  <c r="N58" i="7" s="1"/>
  <c r="L59" i="7"/>
  <c r="N59" i="7" s="1"/>
  <c r="V63" i="7"/>
  <c r="U63" i="7"/>
  <c r="G63" i="7"/>
  <c r="V62" i="7"/>
  <c r="U62" i="7"/>
  <c r="G62" i="7"/>
  <c r="V61" i="7"/>
  <c r="U61" i="7"/>
  <c r="G61" i="7"/>
  <c r="V60" i="7"/>
  <c r="U60" i="7"/>
  <c r="G60" i="7"/>
  <c r="L52" i="7"/>
  <c r="L51" i="7"/>
  <c r="N51" i="7" s="1"/>
  <c r="L50" i="7"/>
  <c r="N50" i="7" s="1"/>
  <c r="L49" i="7"/>
  <c r="N49" i="7" s="1"/>
  <c r="L48" i="7"/>
  <c r="L47" i="7"/>
  <c r="N47" i="7" s="1"/>
  <c r="L46" i="7"/>
  <c r="N46" i="7" s="1"/>
  <c r="L45" i="7"/>
  <c r="N45" i="7" s="1"/>
  <c r="L44" i="7"/>
  <c r="L43" i="7"/>
  <c r="N43" i="7" s="1"/>
  <c r="L42" i="7"/>
  <c r="N42" i="7" s="1"/>
  <c r="L41" i="7"/>
  <c r="N41" i="7" s="1"/>
  <c r="L40" i="7"/>
  <c r="L39" i="7"/>
  <c r="N39" i="7" s="1"/>
  <c r="L38" i="7"/>
  <c r="N38" i="7" s="1"/>
  <c r="L37" i="7"/>
  <c r="N37" i="7" s="1"/>
  <c r="L36" i="7"/>
  <c r="N36" i="7" s="1"/>
  <c r="L35" i="7"/>
  <c r="N35" i="7" s="1"/>
  <c r="L34" i="7"/>
  <c r="N34" i="7" s="1"/>
  <c r="L33" i="7"/>
  <c r="N33" i="7" s="1"/>
  <c r="L32" i="7"/>
  <c r="N32" i="7" s="1"/>
  <c r="L31" i="7"/>
  <c r="N31" i="7" s="1"/>
  <c r="L30" i="7"/>
  <c r="N30" i="7" s="1"/>
  <c r="L29" i="7"/>
  <c r="N29" i="7" s="1"/>
  <c r="L28" i="7"/>
  <c r="L27" i="7"/>
  <c r="N27" i="7" s="1"/>
  <c r="L26" i="7"/>
  <c r="N26" i="7" s="1"/>
  <c r="L25" i="7"/>
  <c r="N25" i="7" s="1"/>
  <c r="L24" i="7"/>
  <c r="L23" i="7"/>
  <c r="N23" i="7" s="1"/>
  <c r="L22" i="7"/>
  <c r="N22" i="7" s="1"/>
  <c r="L21" i="7"/>
  <c r="N21" i="7" s="1"/>
  <c r="L20" i="7"/>
  <c r="N20" i="7" s="1"/>
  <c r="L19" i="7"/>
  <c r="N19" i="7" s="1"/>
  <c r="L18" i="7"/>
  <c r="N18" i="7" s="1"/>
  <c r="L17" i="7"/>
  <c r="N17" i="7" s="1"/>
  <c r="L16" i="7"/>
  <c r="N16" i="7" s="1"/>
  <c r="L15" i="7"/>
  <c r="N15" i="7" s="1"/>
  <c r="L14" i="7"/>
  <c r="N14" i="7" s="1"/>
  <c r="L13" i="7"/>
  <c r="N13" i="7" s="1"/>
  <c r="L12" i="7"/>
  <c r="N12" i="7" s="1"/>
  <c r="L11" i="7"/>
  <c r="N11" i="7" s="1"/>
  <c r="L10" i="7"/>
  <c r="V61" i="5"/>
  <c r="V60" i="5"/>
  <c r="V59" i="5"/>
  <c r="V58" i="5"/>
  <c r="I61" i="5"/>
  <c r="J61" i="5"/>
  <c r="K61" i="5"/>
  <c r="I60" i="5"/>
  <c r="J60" i="5"/>
  <c r="K60" i="5"/>
  <c r="I59" i="5"/>
  <c r="J59" i="5"/>
  <c r="K59" i="5"/>
  <c r="I58" i="5"/>
  <c r="J58" i="5"/>
  <c r="K58" i="5"/>
  <c r="L11" i="5"/>
  <c r="L12" i="5"/>
  <c r="L14" i="5"/>
  <c r="L13" i="5"/>
  <c r="L15" i="5"/>
  <c r="L16" i="5"/>
  <c r="L17" i="5"/>
  <c r="L18" i="5"/>
  <c r="L19" i="5"/>
  <c r="L20" i="5"/>
  <c r="L22" i="5"/>
  <c r="L23" i="5"/>
  <c r="L24" i="5"/>
  <c r="L25" i="5"/>
  <c r="L26" i="5"/>
  <c r="L27" i="5"/>
  <c r="L21" i="5"/>
  <c r="L28" i="5"/>
  <c r="L29" i="5"/>
  <c r="L30" i="5"/>
  <c r="L32" i="5"/>
  <c r="L33" i="5"/>
  <c r="L34" i="5"/>
  <c r="L35" i="5"/>
  <c r="L31" i="5"/>
  <c r="L36" i="5"/>
  <c r="L37" i="5"/>
  <c r="L38" i="5"/>
  <c r="L39" i="5"/>
  <c r="L40" i="5"/>
  <c r="L41" i="5"/>
  <c r="L42" i="5"/>
  <c r="L45" i="5"/>
  <c r="L44" i="5"/>
  <c r="L43" i="5"/>
  <c r="L46" i="5"/>
  <c r="L47" i="5"/>
  <c r="L48" i="5"/>
  <c r="L49" i="5"/>
  <c r="L50" i="5"/>
  <c r="L51" i="5"/>
  <c r="L53" i="5"/>
  <c r="L52" i="5"/>
  <c r="L54" i="5"/>
  <c r="L55" i="5"/>
  <c r="L56" i="5"/>
  <c r="L57" i="5"/>
  <c r="G61" i="5"/>
  <c r="G60" i="5"/>
  <c r="G59" i="5"/>
  <c r="G58" i="5"/>
  <c r="L10" i="5"/>
  <c r="O11" i="2"/>
  <c r="O12" i="2"/>
  <c r="O13" i="2"/>
  <c r="O15" i="2"/>
  <c r="O16" i="2"/>
  <c r="O17" i="2"/>
  <c r="O19" i="2"/>
  <c r="O20" i="2"/>
  <c r="O21" i="2"/>
  <c r="O23" i="2"/>
  <c r="O24" i="2"/>
  <c r="O25" i="2"/>
  <c r="O27" i="2"/>
  <c r="O28" i="2"/>
  <c r="O29" i="2"/>
  <c r="O31" i="2"/>
  <c r="O32" i="2"/>
  <c r="O33" i="2"/>
  <c r="O35" i="2"/>
  <c r="O36" i="2"/>
  <c r="O37" i="2"/>
  <c r="O39" i="2"/>
  <c r="O40" i="2"/>
  <c r="O41" i="2"/>
  <c r="O43" i="2"/>
  <c r="O44" i="2"/>
  <c r="O45" i="2"/>
  <c r="O47" i="2"/>
  <c r="O48" i="2"/>
  <c r="O49" i="2"/>
  <c r="O51" i="2"/>
  <c r="O52" i="2"/>
  <c r="O53" i="2"/>
  <c r="M57" i="2" l="1"/>
  <c r="M56" i="2"/>
  <c r="N50" i="2" s="1"/>
  <c r="M54" i="2"/>
  <c r="S40" i="5"/>
  <c r="S36" i="5"/>
  <c r="X40" i="5"/>
  <c r="S44" i="5"/>
  <c r="S28" i="5"/>
  <c r="S12" i="5"/>
  <c r="X44" i="5"/>
  <c r="X28" i="5"/>
  <c r="X12" i="5"/>
  <c r="N44" i="5"/>
  <c r="N12" i="5"/>
  <c r="X15" i="5"/>
  <c r="N24" i="5"/>
  <c r="X41" i="5"/>
  <c r="S31" i="5"/>
  <c r="X47" i="5"/>
  <c r="N40" i="5"/>
  <c r="X57" i="5"/>
  <c r="S57" i="5"/>
  <c r="S26" i="5"/>
  <c r="X26" i="5"/>
  <c r="N57" i="5"/>
  <c r="N28" i="5"/>
  <c r="N55" i="5"/>
  <c r="S41" i="5"/>
  <c r="S51" i="5"/>
  <c r="S37" i="5"/>
  <c r="S19" i="5"/>
  <c r="X54" i="5"/>
  <c r="X35" i="5"/>
  <c r="N25" i="5"/>
  <c r="W46" i="7"/>
  <c r="X46" i="7" s="1"/>
  <c r="X25" i="5"/>
  <c r="N56" i="5"/>
  <c r="X56" i="5"/>
  <c r="X10" i="5"/>
  <c r="W13" i="7"/>
  <c r="X13" i="7" s="1"/>
  <c r="N10" i="5"/>
  <c r="S48" i="5"/>
  <c r="X36" i="5"/>
  <c r="N16" i="5"/>
  <c r="S32" i="5"/>
  <c r="X11" i="5"/>
  <c r="S56" i="5"/>
  <c r="X52" i="5"/>
  <c r="S47" i="5"/>
  <c r="X22" i="5"/>
  <c r="S15" i="5"/>
  <c r="S25" i="5"/>
  <c r="X53" i="5"/>
  <c r="X33" i="5"/>
  <c r="N26" i="5"/>
  <c r="X20" i="5"/>
  <c r="S49" i="5"/>
  <c r="X49" i="5"/>
  <c r="S43" i="5"/>
  <c r="X43" i="5"/>
  <c r="N43" i="5"/>
  <c r="S34" i="5"/>
  <c r="X34" i="5"/>
  <c r="N29" i="5"/>
  <c r="X29" i="5"/>
  <c r="S29" i="5"/>
  <c r="S17" i="5"/>
  <c r="X17" i="5"/>
  <c r="N14" i="5"/>
  <c r="X14" i="5"/>
  <c r="S14" i="5"/>
  <c r="W21" i="7"/>
  <c r="X21" i="7" s="1"/>
  <c r="S16" i="5"/>
  <c r="N41" i="5"/>
  <c r="N48" i="5"/>
  <c r="N53" i="5"/>
  <c r="N36" i="5"/>
  <c r="N33" i="5"/>
  <c r="W29" i="7"/>
  <c r="X29" i="7" s="1"/>
  <c r="O10" i="2"/>
  <c r="S52" i="5"/>
  <c r="S33" i="5"/>
  <c r="S22" i="5"/>
  <c r="X37" i="5"/>
  <c r="X32" i="5"/>
  <c r="N52" i="5"/>
  <c r="N49" i="5"/>
  <c r="N34" i="5"/>
  <c r="N22" i="5"/>
  <c r="N17" i="5"/>
  <c r="X48" i="5"/>
  <c r="X16" i="5"/>
  <c r="N20" i="5"/>
  <c r="N37" i="5"/>
  <c r="W37" i="7"/>
  <c r="X37" i="7" s="1"/>
  <c r="S10" i="5"/>
  <c r="S53" i="5"/>
  <c r="S20" i="5"/>
  <c r="X55" i="5"/>
  <c r="X39" i="5"/>
  <c r="X51" i="5"/>
  <c r="X50" i="5"/>
  <c r="X46" i="5"/>
  <c r="X45" i="5"/>
  <c r="X42" i="5"/>
  <c r="P60" i="5"/>
  <c r="U61" i="5"/>
  <c r="X38" i="5"/>
  <c r="X31" i="5"/>
  <c r="X30" i="5"/>
  <c r="X21" i="5"/>
  <c r="X27" i="5"/>
  <c r="X24" i="5"/>
  <c r="X23" i="5"/>
  <c r="X19" i="5"/>
  <c r="P58" i="5"/>
  <c r="X18" i="5"/>
  <c r="X13" i="5"/>
  <c r="P59" i="5"/>
  <c r="U60" i="5"/>
  <c r="N15" i="5"/>
  <c r="N39" i="5"/>
  <c r="N47" i="5"/>
  <c r="N51" i="5"/>
  <c r="N31" i="5"/>
  <c r="N21" i="5"/>
  <c r="N19" i="5"/>
  <c r="S55" i="5"/>
  <c r="S39" i="5"/>
  <c r="S24" i="5"/>
  <c r="S45" i="5"/>
  <c r="S21" i="5"/>
  <c r="S11" i="5"/>
  <c r="N11" i="5"/>
  <c r="N32" i="5"/>
  <c r="N45" i="5"/>
  <c r="H58" i="5"/>
  <c r="H59" i="5"/>
  <c r="H60" i="5"/>
  <c r="H61" i="5"/>
  <c r="N54" i="5"/>
  <c r="N50" i="5"/>
  <c r="N46" i="5"/>
  <c r="N42" i="5"/>
  <c r="N38" i="5"/>
  <c r="N35" i="5"/>
  <c r="N30" i="5"/>
  <c r="N27" i="5"/>
  <c r="N23" i="5"/>
  <c r="N18" i="5"/>
  <c r="N13" i="5"/>
  <c r="S54" i="5"/>
  <c r="S50" i="5"/>
  <c r="S46" i="5"/>
  <c r="S42" i="5"/>
  <c r="S38" i="5"/>
  <c r="S35" i="5"/>
  <c r="S30" i="5"/>
  <c r="S27" i="5"/>
  <c r="S23" i="5"/>
  <c r="S18" i="5"/>
  <c r="S13" i="5"/>
  <c r="U58" i="5"/>
  <c r="U59" i="5"/>
  <c r="P61" i="5"/>
  <c r="N40" i="7"/>
  <c r="N44" i="7"/>
  <c r="N48" i="7"/>
  <c r="N52" i="7"/>
  <c r="N56" i="7"/>
  <c r="H60" i="7"/>
  <c r="H61" i="7"/>
  <c r="H62" i="7"/>
  <c r="S48" i="7"/>
  <c r="S32" i="7"/>
  <c r="S24" i="7"/>
  <c r="N24" i="7"/>
  <c r="N28" i="7"/>
  <c r="W27" i="7"/>
  <c r="X27" i="7" s="1"/>
  <c r="W19" i="7"/>
  <c r="X19" i="7" s="1"/>
  <c r="W35" i="7"/>
  <c r="X35" i="7" s="1"/>
  <c r="W51" i="7"/>
  <c r="X51" i="7" s="1"/>
  <c r="W17" i="7"/>
  <c r="X17" i="7" s="1"/>
  <c r="W25" i="7"/>
  <c r="X25" i="7" s="1"/>
  <c r="W33" i="7"/>
  <c r="X33" i="7" s="1"/>
  <c r="W49" i="7"/>
  <c r="X49" i="7" s="1"/>
  <c r="W11" i="7"/>
  <c r="X11" i="7" s="1"/>
  <c r="W15" i="7"/>
  <c r="X15" i="7" s="1"/>
  <c r="W23" i="7"/>
  <c r="X23" i="7" s="1"/>
  <c r="W31" i="7"/>
  <c r="X31" i="7" s="1"/>
  <c r="W39" i="7"/>
  <c r="X39" i="7" s="1"/>
  <c r="W54" i="7"/>
  <c r="X54" i="7" s="1"/>
  <c r="W57" i="7"/>
  <c r="X57" i="7" s="1"/>
  <c r="W53" i="7"/>
  <c r="X53" i="7" s="1"/>
  <c r="W41" i="7"/>
  <c r="X41" i="7" s="1"/>
  <c r="W43" i="7"/>
  <c r="X43" i="7" s="1"/>
  <c r="W45" i="7"/>
  <c r="X45" i="7" s="1"/>
  <c r="W47" i="7"/>
  <c r="X47" i="7" s="1"/>
  <c r="W56" i="7"/>
  <c r="X56" i="7" s="1"/>
  <c r="W10" i="7"/>
  <c r="W63" i="7" s="1"/>
  <c r="W12" i="7"/>
  <c r="X12" i="7" s="1"/>
  <c r="W14" i="7"/>
  <c r="X14" i="7" s="1"/>
  <c r="W16" i="7"/>
  <c r="X16" i="7" s="1"/>
  <c r="W18" i="7"/>
  <c r="X18" i="7" s="1"/>
  <c r="W20" i="7"/>
  <c r="X20" i="7" s="1"/>
  <c r="W22" i="7"/>
  <c r="X22" i="7" s="1"/>
  <c r="W24" i="7"/>
  <c r="X24" i="7" s="1"/>
  <c r="W26" i="7"/>
  <c r="X26" i="7" s="1"/>
  <c r="W28" i="7"/>
  <c r="X28" i="7" s="1"/>
  <c r="W30" i="7"/>
  <c r="X30" i="7" s="1"/>
  <c r="W32" i="7"/>
  <c r="X32" i="7" s="1"/>
  <c r="W34" i="7"/>
  <c r="X34" i="7" s="1"/>
  <c r="W36" i="7"/>
  <c r="X36" i="7" s="1"/>
  <c r="W38" i="7"/>
  <c r="X38" i="7" s="1"/>
  <c r="W40" i="7"/>
  <c r="X40" i="7" s="1"/>
  <c r="W50" i="7"/>
  <c r="X50" i="7" s="1"/>
  <c r="W52" i="7"/>
  <c r="X52" i="7" s="1"/>
  <c r="W59" i="7"/>
  <c r="X59" i="7" s="1"/>
  <c r="W55" i="7"/>
  <c r="X55" i="7" s="1"/>
  <c r="W42" i="7"/>
  <c r="X42" i="7" s="1"/>
  <c r="W44" i="7"/>
  <c r="X44" i="7" s="1"/>
  <c r="W58" i="7"/>
  <c r="X58" i="7" s="1"/>
  <c r="P62" i="7"/>
  <c r="P60" i="7"/>
  <c r="P61" i="7"/>
  <c r="P63" i="7"/>
  <c r="S14" i="7"/>
  <c r="L61" i="7"/>
  <c r="N10" i="7"/>
  <c r="L62" i="7"/>
  <c r="L63" i="7"/>
  <c r="L60" i="7"/>
  <c r="O26" i="2"/>
  <c r="O38" i="2"/>
  <c r="O50" i="2"/>
  <c r="O34" i="2"/>
  <c r="O18" i="2"/>
  <c r="O42" i="2"/>
  <c r="O22" i="2"/>
  <c r="O46" i="2"/>
  <c r="O30" i="2"/>
  <c r="O14" i="2"/>
  <c r="L58" i="5"/>
  <c r="L60" i="5"/>
  <c r="L59" i="5"/>
  <c r="L61" i="5"/>
  <c r="W48" i="7"/>
  <c r="X48" i="7" s="1"/>
  <c r="O55" i="2" l="1"/>
  <c r="O56" i="2"/>
  <c r="O57" i="2"/>
  <c r="O54" i="2"/>
  <c r="N30" i="2"/>
  <c r="N47" i="2"/>
  <c r="N15" i="2"/>
  <c r="W61" i="7"/>
  <c r="N63" i="7"/>
  <c r="N61" i="7"/>
  <c r="N27" i="2"/>
  <c r="N31" i="2"/>
  <c r="N14" i="2"/>
  <c r="N46" i="2"/>
  <c r="N34" i="2"/>
  <c r="W62" i="7"/>
  <c r="N11" i="2"/>
  <c r="N43" i="2"/>
  <c r="N18" i="2"/>
  <c r="S59" i="5"/>
  <c r="N60" i="5"/>
  <c r="N58" i="5"/>
  <c r="N61" i="5"/>
  <c r="S60" i="5"/>
  <c r="N59" i="5"/>
  <c r="S61" i="5"/>
  <c r="S58" i="5"/>
  <c r="S62" i="7"/>
  <c r="S63" i="7"/>
  <c r="N62" i="7"/>
  <c r="N60" i="7"/>
  <c r="W60" i="7"/>
  <c r="X10" i="7"/>
  <c r="X63" i="7" s="1"/>
  <c r="S61" i="7"/>
  <c r="S60" i="7"/>
  <c r="N16" i="2"/>
  <c r="N32" i="2"/>
  <c r="N44" i="2"/>
  <c r="N52" i="2"/>
  <c r="N17" i="2"/>
  <c r="N33" i="2"/>
  <c r="N41" i="2"/>
  <c r="N49" i="2"/>
  <c r="N12" i="2"/>
  <c r="N20" i="2"/>
  <c r="N24" i="2"/>
  <c r="N28" i="2"/>
  <c r="N36" i="2"/>
  <c r="N40" i="2"/>
  <c r="N48" i="2"/>
  <c r="N13" i="2"/>
  <c r="N21" i="2"/>
  <c r="N25" i="2"/>
  <c r="N29" i="2"/>
  <c r="N37" i="2"/>
  <c r="N45" i="2"/>
  <c r="N53" i="2"/>
  <c r="N19" i="2"/>
  <c r="N35" i="2"/>
  <c r="N51" i="2"/>
  <c r="N22" i="2"/>
  <c r="N38" i="2"/>
  <c r="N10" i="2"/>
  <c r="N23" i="2"/>
  <c r="N39" i="2"/>
  <c r="N26" i="2"/>
  <c r="N42" i="2"/>
  <c r="X60" i="5"/>
  <c r="X61" i="5"/>
  <c r="X58" i="5"/>
  <c r="X59" i="5"/>
  <c r="M11" i="7" l="1"/>
  <c r="M54" i="5"/>
  <c r="N56" i="2"/>
  <c r="N57" i="2"/>
  <c r="N55" i="2"/>
  <c r="N54" i="2"/>
  <c r="R20" i="5"/>
  <c r="M15" i="5"/>
  <c r="X62" i="7"/>
  <c r="M56" i="7"/>
  <c r="M26" i="7"/>
  <c r="R34" i="7"/>
  <c r="M43" i="7"/>
  <c r="M24" i="7"/>
  <c r="M58" i="7"/>
  <c r="M41" i="7"/>
  <c r="M28" i="7"/>
  <c r="M15" i="7"/>
  <c r="M45" i="7"/>
  <c r="M10" i="7"/>
  <c r="M47" i="7"/>
  <c r="M30" i="7"/>
  <c r="R14" i="5"/>
  <c r="R46" i="5"/>
  <c r="R13" i="5"/>
  <c r="R43" i="5"/>
  <c r="R44" i="5"/>
  <c r="R12" i="5"/>
  <c r="R45" i="5"/>
  <c r="R35" i="5"/>
  <c r="R21" i="5"/>
  <c r="R34" i="5"/>
  <c r="R24" i="5"/>
  <c r="R33" i="5"/>
  <c r="R32" i="5"/>
  <c r="R30" i="5"/>
  <c r="R15" i="5"/>
  <c r="R29" i="5"/>
  <c r="R11" i="5"/>
  <c r="R28" i="5"/>
  <c r="R50" i="5"/>
  <c r="R18" i="5"/>
  <c r="R49" i="5"/>
  <c r="R17" i="5"/>
  <c r="R48" i="5"/>
  <c r="R16" i="5"/>
  <c r="M36" i="5"/>
  <c r="M56" i="5"/>
  <c r="M29" i="5"/>
  <c r="M41" i="5"/>
  <c r="M52" i="5"/>
  <c r="M42" i="5"/>
  <c r="M46" i="5"/>
  <c r="M34" i="5"/>
  <c r="M22" i="5"/>
  <c r="M47" i="5"/>
  <c r="M37" i="5"/>
  <c r="M28" i="5"/>
  <c r="M50" i="5"/>
  <c r="M26" i="5"/>
  <c r="M57" i="5"/>
  <c r="M55" i="5"/>
  <c r="M13" i="5"/>
  <c r="M23" i="5"/>
  <c r="M27" i="5"/>
  <c r="M39" i="5"/>
  <c r="M44" i="5"/>
  <c r="M43" i="5"/>
  <c r="M21" i="5"/>
  <c r="M32" i="5"/>
  <c r="M11" i="5"/>
  <c r="R10" i="5"/>
  <c r="R19" i="5"/>
  <c r="R42" i="5"/>
  <c r="R27" i="5"/>
  <c r="R51" i="5"/>
  <c r="R57" i="5"/>
  <c r="R41" i="5"/>
  <c r="R26" i="5"/>
  <c r="R47" i="5"/>
  <c r="R56" i="5"/>
  <c r="R40" i="5"/>
  <c r="R25" i="5"/>
  <c r="M48" i="5"/>
  <c r="M18" i="5"/>
  <c r="M49" i="5"/>
  <c r="M20" i="5"/>
  <c r="M12" i="5"/>
  <c r="M10" i="5"/>
  <c r="M53" i="5"/>
  <c r="M25" i="5"/>
  <c r="M35" i="5"/>
  <c r="M31" i="5"/>
  <c r="M16" i="5"/>
  <c r="M33" i="5"/>
  <c r="M51" i="5"/>
  <c r="M30" i="5"/>
  <c r="M45" i="5"/>
  <c r="M40" i="5"/>
  <c r="M14" i="5"/>
  <c r="M38" i="5"/>
  <c r="M17" i="5"/>
  <c r="M19" i="5"/>
  <c r="M24" i="5"/>
  <c r="R55" i="5"/>
  <c r="R54" i="5"/>
  <c r="R38" i="5"/>
  <c r="R23" i="5"/>
  <c r="R39" i="5"/>
  <c r="R52" i="5"/>
  <c r="R37" i="5"/>
  <c r="R22" i="5"/>
  <c r="R31" i="5"/>
  <c r="R53" i="5"/>
  <c r="R36" i="5"/>
  <c r="W12" i="5"/>
  <c r="W16" i="5"/>
  <c r="W20" i="5"/>
  <c r="W25" i="5"/>
  <c r="W28" i="5"/>
  <c r="W33" i="5"/>
  <c r="W36" i="5"/>
  <c r="W40" i="5"/>
  <c r="W44" i="5"/>
  <c r="W48" i="5"/>
  <c r="W53" i="5"/>
  <c r="W56" i="5"/>
  <c r="W14" i="5"/>
  <c r="W17" i="5"/>
  <c r="W22" i="5"/>
  <c r="W26" i="5"/>
  <c r="W29" i="5"/>
  <c r="W34" i="5"/>
  <c r="W37" i="5"/>
  <c r="W41" i="5"/>
  <c r="W43" i="5"/>
  <c r="W49" i="5"/>
  <c r="W52" i="5"/>
  <c r="W57" i="5"/>
  <c r="W13" i="5"/>
  <c r="W18" i="5"/>
  <c r="W23" i="5"/>
  <c r="W27" i="5"/>
  <c r="W30" i="5"/>
  <c r="W35" i="5"/>
  <c r="W38" i="5"/>
  <c r="W42" i="5"/>
  <c r="W46" i="5"/>
  <c r="W50" i="5"/>
  <c r="W54" i="5"/>
  <c r="W11" i="5"/>
  <c r="W15" i="5"/>
  <c r="W19" i="5"/>
  <c r="W24" i="5"/>
  <c r="W21" i="5"/>
  <c r="W32" i="5"/>
  <c r="W31" i="5"/>
  <c r="W39" i="5"/>
  <c r="W45" i="5"/>
  <c r="W47" i="5"/>
  <c r="W51" i="5"/>
  <c r="W55" i="5"/>
  <c r="W10" i="5"/>
  <c r="M44" i="7"/>
  <c r="M12" i="7"/>
  <c r="M31" i="7"/>
  <c r="M46" i="7"/>
  <c r="M14" i="7"/>
  <c r="M29" i="7"/>
  <c r="M40" i="7"/>
  <c r="M59" i="7"/>
  <c r="M27" i="7"/>
  <c r="M42" i="7"/>
  <c r="M57" i="7"/>
  <c r="M21" i="7"/>
  <c r="M52" i="7"/>
  <c r="M20" i="7"/>
  <c r="M55" i="7"/>
  <c r="M39" i="7"/>
  <c r="M23" i="7"/>
  <c r="M54" i="7"/>
  <c r="M38" i="7"/>
  <c r="M22" i="7"/>
  <c r="M53" i="7"/>
  <c r="M37" i="7"/>
  <c r="M17" i="7"/>
  <c r="M36" i="7"/>
  <c r="M48" i="7"/>
  <c r="M32" i="7"/>
  <c r="M16" i="7"/>
  <c r="M51" i="7"/>
  <c r="M35" i="7"/>
  <c r="M19" i="7"/>
  <c r="M50" i="7"/>
  <c r="M34" i="7"/>
  <c r="M18" i="7"/>
  <c r="M49" i="7"/>
  <c r="M33" i="7"/>
  <c r="M13" i="7"/>
  <c r="M25" i="7"/>
  <c r="X60" i="7"/>
  <c r="X61" i="7"/>
  <c r="R30" i="7"/>
  <c r="R51" i="7"/>
  <c r="R40" i="7"/>
  <c r="R47" i="7"/>
  <c r="R11" i="7"/>
  <c r="R54" i="7"/>
  <c r="R14" i="7"/>
  <c r="R10" i="7"/>
  <c r="R22" i="7"/>
  <c r="R20" i="7"/>
  <c r="R18" i="7"/>
  <c r="R48" i="7"/>
  <c r="R49" i="7"/>
  <c r="R26" i="7"/>
  <c r="R28" i="7"/>
  <c r="R23" i="7"/>
  <c r="R19" i="7"/>
  <c r="R55" i="7"/>
  <c r="R24" i="7"/>
  <c r="R27" i="7"/>
  <c r="R32" i="7"/>
  <c r="R25" i="7"/>
  <c r="R12" i="7"/>
  <c r="R46" i="7"/>
  <c r="R44" i="7"/>
  <c r="R58" i="7"/>
  <c r="R29" i="7"/>
  <c r="R39" i="7"/>
  <c r="R57" i="7"/>
  <c r="R31" i="7"/>
  <c r="R21" i="7"/>
  <c r="R37" i="7"/>
  <c r="R43" i="7"/>
  <c r="R13" i="7"/>
  <c r="R15" i="7"/>
  <c r="R16" i="7"/>
  <c r="R42" i="7"/>
  <c r="R45" i="7"/>
  <c r="R52" i="7"/>
  <c r="R38" i="7"/>
  <c r="R41" i="7"/>
  <c r="R33" i="7"/>
  <c r="R56" i="7"/>
  <c r="R35" i="7"/>
  <c r="R59" i="7"/>
  <c r="R36" i="7"/>
  <c r="R53" i="7"/>
  <c r="R50" i="7"/>
  <c r="R17" i="7"/>
  <c r="P26" i="2"/>
  <c r="M61" i="7" l="1"/>
  <c r="M63" i="7"/>
  <c r="R58" i="5"/>
  <c r="M61" i="5"/>
  <c r="R59" i="5"/>
  <c r="M59" i="5"/>
  <c r="R60" i="5"/>
  <c r="R61" i="5"/>
  <c r="M60" i="5"/>
  <c r="M58" i="5"/>
  <c r="W59" i="5"/>
  <c r="W58" i="5"/>
  <c r="W61" i="5"/>
  <c r="W60" i="5"/>
  <c r="M60" i="7"/>
  <c r="M62" i="7"/>
  <c r="R62" i="7"/>
  <c r="R61" i="7"/>
  <c r="R63" i="7"/>
  <c r="R60" i="7"/>
  <c r="P51" i="2"/>
  <c r="P47" i="2"/>
  <c r="P25" i="2"/>
  <c r="P43" i="2"/>
  <c r="P53" i="2"/>
  <c r="P15" i="2"/>
  <c r="P49" i="2"/>
  <c r="P52" i="2"/>
  <c r="P16" i="2"/>
  <c r="P20" i="2"/>
  <c r="P29" i="2"/>
  <c r="P21" i="2"/>
  <c r="P13" i="2"/>
  <c r="P14" i="2"/>
  <c r="P40" i="2"/>
  <c r="P36" i="2"/>
  <c r="P17" i="2"/>
  <c r="P37" i="2"/>
  <c r="P35" i="2"/>
  <c r="P10" i="2"/>
  <c r="P23" i="2"/>
  <c r="P33" i="2"/>
  <c r="P46" i="2"/>
  <c r="P32" i="2"/>
  <c r="P11" i="2"/>
  <c r="P22" i="2"/>
  <c r="P27" i="2"/>
  <c r="P50" i="2"/>
  <c r="P41" i="2"/>
  <c r="P44" i="2"/>
  <c r="P39" i="2"/>
  <c r="P42" i="2"/>
  <c r="P38" i="2"/>
  <c r="P18" i="2"/>
  <c r="P45" i="2"/>
  <c r="P24" i="2"/>
  <c r="P30" i="2"/>
  <c r="P34" i="2"/>
  <c r="P28" i="2"/>
  <c r="P48" i="2"/>
  <c r="P12" i="2"/>
  <c r="P19" i="2"/>
  <c r="P31" i="2"/>
  <c r="P56" i="2" l="1"/>
  <c r="P57" i="2"/>
  <c r="P55" i="2"/>
  <c r="P54" i="2"/>
</calcChain>
</file>

<file path=xl/sharedStrings.xml><?xml version="1.0" encoding="utf-8"?>
<sst xmlns="http://schemas.openxmlformats.org/spreadsheetml/2006/main" count="1220" uniqueCount="321">
  <si>
    <t>REKAYASA PERANGKAT LUNAK</t>
  </si>
  <si>
    <t>NO</t>
  </si>
  <si>
    <t>NIS</t>
  </si>
  <si>
    <t>NAMA SISWA</t>
  </si>
  <si>
    <t>L/P</t>
  </si>
  <si>
    <t>Rata-rata</t>
  </si>
  <si>
    <t>Nilai Tertinggi</t>
  </si>
  <si>
    <t>Nilai Terendah</t>
  </si>
  <si>
    <t>Standar Deviasi</t>
  </si>
  <si>
    <t>KKM</t>
  </si>
  <si>
    <t>Nilai MAX Terget</t>
  </si>
  <si>
    <t>NT</t>
  </si>
  <si>
    <t>TEORI</t>
  </si>
  <si>
    <t>PRAKTEK</t>
  </si>
  <si>
    <t>NR</t>
  </si>
  <si>
    <t>PTS</t>
  </si>
  <si>
    <t>NUH</t>
  </si>
  <si>
    <t>RAPORT</t>
  </si>
  <si>
    <t>Konversi PAS</t>
  </si>
  <si>
    <t>PAS</t>
  </si>
  <si>
    <t>TAHUN PELAJARAN 2024/2025</t>
  </si>
  <si>
    <t>ABSENSI</t>
  </si>
  <si>
    <t>P.HARIAN</t>
  </si>
  <si>
    <t>DPK 3 REKAYASA PERANGKAT LUNAK</t>
  </si>
  <si>
    <t>KOMPETENSI KEAHLIAN</t>
  </si>
  <si>
    <t>ALVIN PRASETIA</t>
  </si>
  <si>
    <t>√</t>
  </si>
  <si>
    <t>AKBAR MAULANA</t>
  </si>
  <si>
    <t>FADIL ABDUL AZIZ</t>
  </si>
  <si>
    <t>FAJAR MAULANA NUGRAHA</t>
  </si>
  <si>
    <t>KHANSA AZRIZA</t>
  </si>
  <si>
    <t>RAYA AULIA NAJMI</t>
  </si>
  <si>
    <t>REGINA APRILIYA</t>
  </si>
  <si>
    <t>REINHART IMANUEL ARITONANG</t>
  </si>
  <si>
    <t>RIVQI WILIAWAN</t>
  </si>
  <si>
    <t>ZALZA BYLLA OKTAFEVIYANA</t>
  </si>
  <si>
    <t>KELAS</t>
  </si>
  <si>
    <t>ACP</t>
  </si>
  <si>
    <t>ABDUL EPAN</t>
  </si>
  <si>
    <t>ALI SATRIYA BAYU</t>
  </si>
  <si>
    <t>DAVIN ARYA PUTRA</t>
  </si>
  <si>
    <t>DEVANA APRILIYANO ALAMSYAH</t>
  </si>
  <si>
    <t>EVANDRA NOER AREZKY</t>
  </si>
  <si>
    <t>EZAR RADITYA GUNAWAN</t>
  </si>
  <si>
    <t>FAHMI ABDULRAHMAN</t>
  </si>
  <si>
    <t>FARIZ ALBA</t>
  </si>
  <si>
    <t>GIA ANANDA SAFITRI</t>
  </si>
  <si>
    <t>HAIKAL BUDIANSYAH</t>
  </si>
  <si>
    <t>INDRI ANGGRAENI</t>
  </si>
  <si>
    <t>INDRIYANI FITRIYASARI</t>
  </si>
  <si>
    <t>JANPETER SEBASTIAN PANDIANGAN</t>
  </si>
  <si>
    <t>KAYLA VEBRIYANA</t>
  </si>
  <si>
    <t>KHAYYIRA HANIFA AZ-ZAHRA</t>
  </si>
  <si>
    <t>M. RUSTANDI</t>
  </si>
  <si>
    <t>MARISA</t>
  </si>
  <si>
    <t>MOCH PAISAL LUTHFI</t>
  </si>
  <si>
    <t>MUHAMAD LUGI ALPARIZI</t>
  </si>
  <si>
    <t>MUHAMMAD BILAL ALHABSY</t>
  </si>
  <si>
    <t>NISEU BIL HASNA</t>
  </si>
  <si>
    <t>NOVA NOPIANA</t>
  </si>
  <si>
    <t>NOVI NOPIANI</t>
  </si>
  <si>
    <t>NUR AZIZAH</t>
  </si>
  <si>
    <t>NUR FADHILAH</t>
  </si>
  <si>
    <t>RANGGA PRATAMA</t>
  </si>
  <si>
    <t>RAKA CANDRA FADILAH</t>
  </si>
  <si>
    <t>RINA APRILIANI</t>
  </si>
  <si>
    <t xml:space="preserve">SALMAA FAUZIYAH </t>
  </si>
  <si>
    <t>SRI RESTI RAMDAN</t>
  </si>
  <si>
    <t>TRIA KARTIKA ANUGRAH</t>
  </si>
  <si>
    <t>UMAR</t>
  </si>
  <si>
    <t>VIKA NOPRITA AYUDIA RANI</t>
  </si>
  <si>
    <t>WIDYA IDAMATULSILMI</t>
  </si>
  <si>
    <t>PPLG</t>
  </si>
  <si>
    <t>Nilai</t>
  </si>
  <si>
    <t>Raport</t>
  </si>
  <si>
    <t>DAFTAR NILAI SEKOLAH MENENGAH KEJURUAN DOA BANGSA</t>
  </si>
  <si>
    <t>ALGAM RISGI SUGIRMAN</t>
  </si>
  <si>
    <t>CIKAL PUTRA SUBRANI</t>
  </si>
  <si>
    <t>DODI ARIL FAUZI</t>
  </si>
  <si>
    <t>ENENG SALSA NABILA</t>
  </si>
  <si>
    <t>EKI APRIANSYAH</t>
  </si>
  <si>
    <t>ERWIN SUHERMAN</t>
  </si>
  <si>
    <t>FAUZAN SYA'BAN NUR'ISLAM</t>
  </si>
  <si>
    <t>HERMAWAN ANGGARA</t>
  </si>
  <si>
    <t>JANNATA TSAMANIYA ARSYISTAWAA</t>
  </si>
  <si>
    <t>KAMILANIYA TSAQILA</t>
  </si>
  <si>
    <t>KURNIASANDI AUNURRAFIQ</t>
  </si>
  <si>
    <t>NISWAH KAMILAH NUR ALA</t>
  </si>
  <si>
    <t>RAMDAN ALWIANSYAH</t>
  </si>
  <si>
    <t>REY GUSTIAWAN</t>
  </si>
  <si>
    <t>SITI HASANAH</t>
  </si>
  <si>
    <t>SURYANA</t>
  </si>
  <si>
    <t>TIARA AMANDA PUTRI FATRIANA</t>
  </si>
  <si>
    <t>MIRNA SULASTRI</t>
  </si>
  <si>
    <t>WAHID DICKY NUGROHO</t>
  </si>
  <si>
    <t>ABDUL HAKIM</t>
  </si>
  <si>
    <t>ADITYA PUTRA NURAHMAN</t>
  </si>
  <si>
    <t>AGIL AL PAUJI</t>
  </si>
  <si>
    <t>AGUNAWAN</t>
  </si>
  <si>
    <t>ALI AKBAR NUR SUBHKI</t>
  </si>
  <si>
    <t>ALMA DEFAULIA MAHARANI</t>
  </si>
  <si>
    <t>ADRIAN BAGUS RAMADANI</t>
  </si>
  <si>
    <t>ARABI RUDINATA</t>
  </si>
  <si>
    <t>ARDIANSYAH</t>
  </si>
  <si>
    <t>ASTRI LIANTI</t>
  </si>
  <si>
    <t>AURA PUTRI RAMADANI</t>
  </si>
  <si>
    <t>ERLANGGA WIRADINATA</t>
  </si>
  <si>
    <t>IKHSAN ALFANDI PRATAMA</t>
  </si>
  <si>
    <t>KIREINA NARZILLA IRAWAN</t>
  </si>
  <si>
    <t>M SIDIQ</t>
  </si>
  <si>
    <t>M. RIZKI ANDIKA</t>
  </si>
  <si>
    <t>MOCH VIRAS AL GAZALI</t>
  </si>
  <si>
    <t>NAILA NAZWA LATIFA</t>
  </si>
  <si>
    <t>NYAI INDAH LESTARI</t>
  </si>
  <si>
    <t>RAKA LEANER YACOB BOOM</t>
  </si>
  <si>
    <t>RATU CHIKA SRI ASTUTI</t>
  </si>
  <si>
    <t>RAYSAD RADANA</t>
  </si>
  <si>
    <t>REHAN RAMADAN</t>
  </si>
  <si>
    <t>RESTA SEPTIANI</t>
  </si>
  <si>
    <t>RENDI MAULANA</t>
  </si>
  <si>
    <t>RIAN SAPUTRA</t>
  </si>
  <si>
    <t>SAHILMI</t>
  </si>
  <si>
    <t>SATRIA NUGRAHA TRI WIGUNA</t>
  </si>
  <si>
    <t>VIRZY PRATAMA</t>
  </si>
  <si>
    <t>BASIS DATA</t>
  </si>
  <si>
    <t>IOT</t>
  </si>
  <si>
    <t>PPB</t>
  </si>
  <si>
    <t>PENILAIAN</t>
  </si>
  <si>
    <t>ADAM PRATAMA</t>
  </si>
  <si>
    <t>ANDRA SYAHRI RAMDANI</t>
  </si>
  <si>
    <t>DANI</t>
  </si>
  <si>
    <t>GLADISYA HARUMI NEGERI</t>
  </si>
  <si>
    <t>HASBI MUBAROK</t>
  </si>
  <si>
    <t>MUHAMMAD ALDO AL-TU RIZKI</t>
  </si>
  <si>
    <t>MUHAMMAD ALIP ALBUHORI</t>
  </si>
  <si>
    <t>MUHAMMAD AZRIL MAULANA</t>
  </si>
  <si>
    <t>MUHAMMAD RAKA DEFIAN</t>
  </si>
  <si>
    <t>MUHAMAD SETIAJI</t>
  </si>
  <si>
    <t>PARHAN HAMDALAH</t>
  </si>
  <si>
    <t>RAHMITA KUSUMA</t>
  </si>
  <si>
    <t>RENDI DAMARA</t>
  </si>
  <si>
    <t>SALMA RAHMITA</t>
  </si>
  <si>
    <t>ANISA LEGINA PUTRI</t>
  </si>
  <si>
    <t>ASIH</t>
  </si>
  <si>
    <t>DESVITA AWALIADI</t>
  </si>
  <si>
    <t>DIMAS ADITYA WIJAYA</t>
  </si>
  <si>
    <t>DIMAS MAULANA</t>
  </si>
  <si>
    <t>FARHAN AZIZI</t>
  </si>
  <si>
    <t>HIJKIL HAIKAL</t>
  </si>
  <si>
    <t>INDRI OKTAPIANI</t>
  </si>
  <si>
    <t>JIBRIEL ABDILLAH</t>
  </si>
  <si>
    <t>KESIT TRIAS CHANDRA WIGUNA</t>
  </si>
  <si>
    <t>LENTI FATMAWATI</t>
  </si>
  <si>
    <t>MARSHA AMIRA ZAHRA</t>
  </si>
  <si>
    <t>MUHAMAD BAYU ROJUDIN</t>
  </si>
  <si>
    <t>MUHAMMAD ALFARIZKI</t>
  </si>
  <si>
    <t>MUHAMMAD FAHMI IRAWAN</t>
  </si>
  <si>
    <t>NENG MELA MELYANI</t>
  </si>
  <si>
    <t>NURYANA</t>
  </si>
  <si>
    <t>PUTRI FIRYAL</t>
  </si>
  <si>
    <t>PUTRI ZASKIA RAMADANI</t>
  </si>
  <si>
    <t>RAHDIATULLAH</t>
  </si>
  <si>
    <t>RATU MONIKA</t>
  </si>
  <si>
    <t>REANA ESTIANTI</t>
  </si>
  <si>
    <t>REGI AHMAD ALFARIZI</t>
  </si>
  <si>
    <t>RIKA</t>
  </si>
  <si>
    <t>RIZKI RAMADAN</t>
  </si>
  <si>
    <t>ROSIYANA PUTRI</t>
  </si>
  <si>
    <t>RUCITA INTAN RATU</t>
  </si>
  <si>
    <t>SEPIN ARDIANA</t>
  </si>
  <si>
    <t>SERA</t>
  </si>
  <si>
    <t>SERA SINTIA PUTRI</t>
  </si>
  <si>
    <t>SITI HOLILAH</t>
  </si>
  <si>
    <t>SITI ROHMAH</t>
  </si>
  <si>
    <t>SITI SALSABILA CHALISHAH</t>
  </si>
  <si>
    <t>WILDAN AULIYA MU'MIN</t>
  </si>
  <si>
    <t>YOGI SEPTIAN</t>
  </si>
  <si>
    <t>ZIYAD CAHYADI</t>
  </si>
  <si>
    <t>RPL</t>
  </si>
  <si>
    <t>PWPB</t>
  </si>
  <si>
    <t>2&gt;5</t>
  </si>
  <si>
    <t>5&gt;10</t>
  </si>
  <si>
    <t>10&gt;13</t>
  </si>
  <si>
    <t>13&gt;20</t>
  </si>
  <si>
    <t>1&gt;2</t>
  </si>
  <si>
    <t>&lt;1</t>
  </si>
  <si>
    <t>RANK POIN BINTANG</t>
  </si>
  <si>
    <t>NILAI</t>
  </si>
  <si>
    <t>NAMA</t>
  </si>
  <si>
    <t>PERBAIKAN NILAI</t>
  </si>
  <si>
    <t>X ACP</t>
  </si>
  <si>
    <t>X RPL</t>
  </si>
  <si>
    <t>PAS PRAKTIK</t>
  </si>
  <si>
    <t>PAS TEORI</t>
  </si>
  <si>
    <t>XI ACP</t>
  </si>
  <si>
    <t>XI RPL</t>
  </si>
  <si>
    <t>XII ACP</t>
  </si>
  <si>
    <t>XII RPL</t>
  </si>
  <si>
    <t xml:space="preserve">PTS </t>
  </si>
  <si>
    <t>X</t>
  </si>
  <si>
    <t>LINK PERBAIKAN</t>
  </si>
  <si>
    <t>XI</t>
  </si>
  <si>
    <t>XII</t>
  </si>
  <si>
    <t>https://forms.gle/VkQ9jAutdyyVSrRy9</t>
  </si>
  <si>
    <t>https://docs.google.com/document/d/1MHeRHOzAMJEYvChLAc_uu07o8lbRcaVR/edit?usp=sharing&amp;ouid=101016139641050089899&amp;rtpof=true&amp;sd=true</t>
  </si>
  <si>
    <t>https://drive.google.com/file/d/1xXaYKCSKix5OrXFt4Wg_vq3_OJu7PNS5/view?usp=sharing</t>
  </si>
  <si>
    <t>https://drive.google.com/file/d/1hLlGreWXfloQwmqPWYOGHMTJaSWSFsEz/view?usp=sharing</t>
  </si>
  <si>
    <t>https://forms.gle/bBsrjHg82jKRh68A8</t>
  </si>
  <si>
    <t>https://docs.google.com/document/d/1pPP9cElu0zwIUXlkV7aiyfEmBTsWTdRi/edit?usp=sharing&amp;ouid=101016139641050089899&amp;rtpof=true&amp;sd=true</t>
  </si>
  <si>
    <t>https://docs.google.com/document/d/1XccgmYizPI0QG7Tyu2hWjUbcWT9xTQPi/edit?usp=sharing&amp;ouid=101016139641050089899&amp;rtpof=true&amp;sd=true</t>
  </si>
  <si>
    <t>https://forms.gle/CKHzK4cVAiwesrkw6</t>
  </si>
  <si>
    <t>https://drive.google.com/file/d/1VQUNEPxUM0mi_NE6Vb0IX9BrMnr0OfSU/view?usp=sharing</t>
  </si>
  <si>
    <t>DATA PESERTA PERBAIKAN MATA PELAJARAN ASEP SUKANDAR</t>
  </si>
  <si>
    <t>PENGUMPULAN</t>
  </si>
  <si>
    <t>EMAIL</t>
  </si>
  <si>
    <t>asep.sukandar_ti23@nusaputra.ac.id</t>
  </si>
  <si>
    <t>Polio dan kumpulkan ke email dengan Subjek PERBAIKAN_NAMA</t>
  </si>
  <si>
    <t>Kerjakan di Link Ini</t>
  </si>
  <si>
    <t>Catatan : Diharap Baca Intruksi Dengan Teliti Batas Pengumpulan Tanggal : 16 Desember 2024,        Pukul : 11.00 WIB</t>
  </si>
  <si>
    <t>Kumpulkan Bentuk Laporan Dokumentasi ke email dengan Subjek PERBAIKAN_NAMA</t>
  </si>
  <si>
    <t>DATABASES</t>
  </si>
  <si>
    <t>LOGIN MULTI USER</t>
  </si>
  <si>
    <t>TEMPLATING ENGING</t>
  </si>
  <si>
    <t>CREATE</t>
  </si>
  <si>
    <t>READ</t>
  </si>
  <si>
    <t>UPDATE</t>
  </si>
  <si>
    <t>DELETE</t>
  </si>
  <si>
    <t>SEARCHING</t>
  </si>
  <si>
    <t>REPORT</t>
  </si>
  <si>
    <t>PROGRES PROJEK PENGAYAAN UKK</t>
  </si>
  <si>
    <t>SENIN</t>
  </si>
  <si>
    <t>JLM ABSENSI</t>
  </si>
  <si>
    <t>SEMESTER GENAP</t>
  </si>
  <si>
    <t>SRI RAHAYU</t>
  </si>
  <si>
    <t xml:space="preserve">MAPEL </t>
  </si>
  <si>
    <t>Prjct</t>
  </si>
  <si>
    <t>N.RAPOT</t>
  </si>
  <si>
    <t>Absensi</t>
  </si>
  <si>
    <t>LS</t>
  </si>
  <si>
    <t>SEMESTER 5</t>
  </si>
  <si>
    <t>M</t>
  </si>
  <si>
    <t>P</t>
  </si>
  <si>
    <t>SEMESTER 3</t>
  </si>
  <si>
    <t>MATA PELAJARAN</t>
  </si>
  <si>
    <t>KODE</t>
  </si>
  <si>
    <t>4A</t>
  </si>
  <si>
    <t>4B</t>
  </si>
  <si>
    <t>4C</t>
  </si>
  <si>
    <t>4D</t>
  </si>
  <si>
    <t>4E</t>
  </si>
  <si>
    <t>4F</t>
  </si>
  <si>
    <t>DDPPLG</t>
  </si>
  <si>
    <t>Pemrograman Perangkat Bergerak</t>
  </si>
  <si>
    <t>AT Internet Of Things(IOT)</t>
  </si>
  <si>
    <t>ACP 1,2,3</t>
  </si>
  <si>
    <t xml:space="preserve">LS </t>
  </si>
  <si>
    <t>HARI</t>
  </si>
  <si>
    <t>WAKTU</t>
  </si>
  <si>
    <t>MAPEL</t>
  </si>
  <si>
    <t>08.00 - 09.30</t>
  </si>
  <si>
    <t>10 ACP</t>
  </si>
  <si>
    <t>10.30 - 12.00</t>
  </si>
  <si>
    <t>11 PPLG</t>
  </si>
  <si>
    <t>12.45 - 15.00</t>
  </si>
  <si>
    <t>12 PPLG</t>
  </si>
  <si>
    <t>07.15 - 09.30</t>
  </si>
  <si>
    <t>SELASA</t>
  </si>
  <si>
    <t>10 PPLG</t>
  </si>
  <si>
    <t>12 ACP</t>
  </si>
  <si>
    <t>12.45 - 13.30</t>
  </si>
  <si>
    <t>12.45 - 14.15</t>
  </si>
  <si>
    <t>14.15 - 15.45</t>
  </si>
  <si>
    <t>RABU</t>
  </si>
  <si>
    <t xml:space="preserve">07.15 - 08.45 </t>
  </si>
  <si>
    <t>11 ACP</t>
  </si>
  <si>
    <t>08.45 - 10.15</t>
  </si>
  <si>
    <t xml:space="preserve">11 ACP </t>
  </si>
  <si>
    <t>12.45 - 15.45</t>
  </si>
  <si>
    <t>KAMIS</t>
  </si>
  <si>
    <t>JUMAT</t>
  </si>
  <si>
    <t>09.45 - 11.15</t>
  </si>
  <si>
    <t xml:space="preserve">BD </t>
  </si>
  <si>
    <t>BD</t>
  </si>
  <si>
    <t>07.15 - 10.15</t>
  </si>
  <si>
    <t>PEMROGRAMAN PERANGKAT BERGERAK</t>
  </si>
  <si>
    <t>AT INTERNET OF THINGS(IOT)</t>
  </si>
  <si>
    <t>DASAR - DASAR PEMROGRAMAN PERANGKAT BERGERAK &amp; GIM</t>
  </si>
  <si>
    <t>SEMESTER 1</t>
  </si>
  <si>
    <t>SEMESTER</t>
  </si>
  <si>
    <t>ERWIN SUHERWAN</t>
  </si>
  <si>
    <t>KIREINA NAZRILA IRAWAN</t>
  </si>
  <si>
    <t>MOCH. VIRAS ALGAZALI</t>
  </si>
  <si>
    <t>MUHAMAD RIZKI ANDIKA</t>
  </si>
  <si>
    <t>MUHAMAD SIDIK</t>
  </si>
  <si>
    <t>ALDIANSAH</t>
  </si>
  <si>
    <t>ALIEF SANJANI</t>
  </si>
  <si>
    <t xml:space="preserve">CANZA YUDIA MULYA </t>
  </si>
  <si>
    <t>DEFIN PRASETYA</t>
  </si>
  <si>
    <t>FIKRI FAHRIANSAH</t>
  </si>
  <si>
    <t>JISVI DWI ANDREANS</t>
  </si>
  <si>
    <t>KENZI REYNALDI</t>
  </si>
  <si>
    <t>LIANA NARASAKI</t>
  </si>
  <si>
    <t>FADIL BAIHAQI</t>
  </si>
  <si>
    <t xml:space="preserve">MAULIDA </t>
  </si>
  <si>
    <t>MIRAJ AKBAR PA</t>
  </si>
  <si>
    <t>MUHAMMAD DAVID</t>
  </si>
  <si>
    <t>MUHAMMAD IRPANA</t>
  </si>
  <si>
    <t>MUHAMMAD RAFFAEL</t>
  </si>
  <si>
    <t xml:space="preserve">NAUVAL KHAIRUL RISMAWAN </t>
  </si>
  <si>
    <t xml:space="preserve">NAYLA SALSABILA </t>
  </si>
  <si>
    <t>NAZWAH RUBY AKSAYLA MAULANA</t>
  </si>
  <si>
    <t>OBI ABI SETIAWAN</t>
  </si>
  <si>
    <t>RABBY KARUNIA</t>
  </si>
  <si>
    <t xml:space="preserve">RAMA DIAN SAPUTRA </t>
  </si>
  <si>
    <t>SYAHRIL ARDIANSYAH</t>
  </si>
  <si>
    <t xml:space="preserve">TIARA APRILIA </t>
  </si>
  <si>
    <t>ANDHIKA SAPUTRA</t>
  </si>
  <si>
    <t>SARAH ANGGI APIKA Z</t>
  </si>
  <si>
    <t>TEST BD</t>
  </si>
  <si>
    <t>HAPALAN</t>
  </si>
  <si>
    <t>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</si>
</sst>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Bookman Old Style"/>
      <family val="1"/>
    </font>
    <font>
      <sz val="10"/>
      <color rgb="FF000000"/>
      <name val="Bookman Old Style"/>
      <family val="1"/>
    </font>
    <font>
      <sz val="12"/>
      <color rgb="FF000000"/>
      <name val="Bookman Old Style"/>
      <family val="1"/>
    </font>
    <font>
      <sz val="12"/>
      <color rgb="FF1F1F1F"/>
      <name val="Bookman Old Style"/>
      <family val="1"/>
    </font>
    <font>
      <b/>
      <sz val="14"/>
      <color theme="1"/>
      <name val="Calibri"/>
      <family val="2"/>
      <scheme val="minor"/>
    </font>
    <font>
      <sz val="12"/>
      <name val="Bookman Old Style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b/>
      <i/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b/>
      <i/>
      <sz val="20"/>
      <color theme="1"/>
      <name val="Bookman Old Style"/>
      <family val="1"/>
    </font>
    <font>
      <b/>
      <i/>
      <sz val="14"/>
      <color rgb="FFFF0000"/>
      <name val="Bookman Old Style"/>
      <family val="1"/>
    </font>
    <font>
      <u/>
      <sz val="22"/>
      <color theme="10"/>
      <name val="Calibri"/>
      <family val="2"/>
      <scheme val="minor"/>
    </font>
    <font>
      <b/>
      <sz val="11"/>
      <color theme="0"/>
      <name val="Bookman Old Style"/>
      <family val="1"/>
    </font>
    <font>
      <b/>
      <i/>
      <sz val="16"/>
      <color theme="1"/>
      <name val="Bookman Old Style"/>
      <family val="1"/>
    </font>
    <font>
      <b/>
      <i/>
      <sz val="9"/>
      <color theme="1"/>
      <name val="Calibri"/>
      <family val="2"/>
      <scheme val="minor"/>
    </font>
    <font>
      <b/>
      <sz val="14"/>
      <name val="Bookman Old Style"/>
      <family val="1"/>
    </font>
    <font>
      <b/>
      <i/>
      <sz val="14"/>
      <name val="Bookman Old Style"/>
      <family val="1"/>
    </font>
    <font>
      <b/>
      <i/>
      <sz val="10"/>
      <name val="Bookman Old Style"/>
      <family val="1"/>
    </font>
    <font>
      <b/>
      <i/>
      <sz val="12"/>
      <color theme="1"/>
      <name val="Bookman Old Style"/>
      <family val="1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Bahnschrift Condensed"/>
      <family val="2"/>
    </font>
    <font>
      <sz val="11"/>
      <color theme="1"/>
      <name val="Bahnschrift"/>
      <family val="2"/>
    </font>
    <font>
      <b/>
      <i/>
      <sz val="8"/>
      <name val="Bookman Old Style"/>
      <family val="1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510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0" fillId="0" borderId="0" xfId="0" applyAlignment="1">
      <alignment vertical="center"/>
    </xf>
    <xf numFmtId="2" fontId="2" fillId="0" borderId="8" xfId="0" applyNumberFormat="1" applyFont="1" applyBorder="1" applyAlignment="1">
      <alignment horizontal="center" vertical="center"/>
    </xf>
    <xf numFmtId="0" fontId="0" fillId="5" borderId="0" xfId="0" applyFill="1" applyAlignment="1">
      <alignment vertical="center"/>
    </xf>
    <xf numFmtId="2" fontId="2" fillId="5" borderId="8" xfId="0" applyNumberFormat="1" applyFont="1" applyFill="1" applyBorder="1" applyAlignment="1">
      <alignment horizontal="center" vertical="center"/>
    </xf>
    <xf numFmtId="0" fontId="0" fillId="5" borderId="0" xfId="0" applyFill="1"/>
    <xf numFmtId="2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0" fillId="0" borderId="4" xfId="0" applyNumberForma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12" fillId="0" borderId="4" xfId="0" applyFont="1" applyBorder="1" applyAlignment="1">
      <alignment horizontal="left" vertical="center"/>
    </xf>
    <xf numFmtId="0" fontId="15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3" fillId="7" borderId="2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17" fillId="7" borderId="2" xfId="0" applyFont="1" applyFill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5" borderId="0" xfId="0" applyFill="1" applyBorder="1"/>
    <xf numFmtId="0" fontId="1" fillId="5" borderId="0" xfId="0" applyFont="1" applyFill="1" applyBorder="1" applyAlignment="1">
      <alignment vertical="center"/>
    </xf>
    <xf numFmtId="0" fontId="0" fillId="0" borderId="0" xfId="0" applyBorder="1" applyAlignment="1"/>
    <xf numFmtId="0" fontId="12" fillId="7" borderId="13" xfId="0" applyFont="1" applyFill="1" applyBorder="1" applyAlignment="1">
      <alignment vertical="center"/>
    </xf>
    <xf numFmtId="1" fontId="5" fillId="4" borderId="8" xfId="0" applyNumberFormat="1" applyFont="1" applyFill="1" applyBorder="1" applyAlignment="1">
      <alignment horizontal="center"/>
    </xf>
    <xf numFmtId="2" fontId="2" fillId="0" borderId="19" xfId="0" applyNumberFormat="1" applyFont="1" applyBorder="1" applyAlignment="1">
      <alignment horizontal="center" vertical="center"/>
    </xf>
    <xf numFmtId="2" fontId="2" fillId="5" borderId="19" xfId="0" applyNumberFormat="1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2" fontId="2" fillId="0" borderId="8" xfId="0" applyNumberFormat="1" applyFont="1" applyFill="1" applyBorder="1" applyAlignment="1">
      <alignment horizontal="center" vertical="center"/>
    </xf>
    <xf numFmtId="2" fontId="2" fillId="0" borderId="19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1" fontId="6" fillId="0" borderId="8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vertical="center" wrapText="1"/>
    </xf>
    <xf numFmtId="0" fontId="9" fillId="0" borderId="19" xfId="0" applyFont="1" applyFill="1" applyBorder="1" applyAlignment="1">
      <alignment horizontal="center"/>
    </xf>
    <xf numFmtId="0" fontId="12" fillId="0" borderId="3" xfId="0" applyFont="1" applyFill="1" applyBorder="1" applyAlignment="1">
      <alignment vertical="center"/>
    </xf>
    <xf numFmtId="0" fontId="9" fillId="0" borderId="11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vertical="center" wrapText="1"/>
    </xf>
    <xf numFmtId="0" fontId="16" fillId="0" borderId="11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vertical="center"/>
    </xf>
    <xf numFmtId="0" fontId="9" fillId="0" borderId="20" xfId="0" applyFont="1" applyFill="1" applyBorder="1" applyAlignment="1">
      <alignment horizontal="center"/>
    </xf>
    <xf numFmtId="1" fontId="5" fillId="0" borderId="4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 vertical="center"/>
    </xf>
    <xf numFmtId="2" fontId="2" fillId="0" borderId="10" xfId="0" applyNumberFormat="1" applyFont="1" applyFill="1" applyBorder="1" applyAlignment="1">
      <alignment horizontal="center" vertical="center"/>
    </xf>
    <xf numFmtId="0" fontId="0" fillId="0" borderId="0" xfId="0" applyFill="1" applyBorder="1" applyAlignment="1"/>
    <xf numFmtId="2" fontId="0" fillId="0" borderId="8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0" fontId="3" fillId="8" borderId="8" xfId="0" quotePrefix="1" applyFont="1" applyFill="1" applyBorder="1" applyAlignment="1">
      <alignment horizontal="center" vertical="center"/>
    </xf>
    <xf numFmtId="0" fontId="3" fillId="8" borderId="1" xfId="0" quotePrefix="1" applyFont="1" applyFill="1" applyBorder="1" applyAlignment="1">
      <alignment horizontal="center" vertical="center"/>
    </xf>
    <xf numFmtId="0" fontId="3" fillId="8" borderId="2" xfId="0" quotePrefix="1" applyFont="1" applyFill="1" applyBorder="1" applyAlignment="1">
      <alignment horizontal="center" vertical="center"/>
    </xf>
    <xf numFmtId="0" fontId="3" fillId="8" borderId="19" xfId="0" quotePrefix="1" applyFont="1" applyFill="1" applyBorder="1" applyAlignment="1">
      <alignment horizontal="center" vertical="center"/>
    </xf>
    <xf numFmtId="0" fontId="3" fillId="8" borderId="3" xfId="0" quotePrefix="1" applyFont="1" applyFill="1" applyBorder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20" fillId="0" borderId="1" xfId="0" applyFont="1" applyBorder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23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2" fontId="2" fillId="6" borderId="10" xfId="0" applyNumberFormat="1" applyFont="1" applyFill="1" applyBorder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6" borderId="1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/>
    </xf>
    <xf numFmtId="0" fontId="0" fillId="12" borderId="0" xfId="0" applyFill="1"/>
    <xf numFmtId="0" fontId="20" fillId="12" borderId="1" xfId="0" applyFont="1" applyFill="1" applyBorder="1" applyAlignment="1">
      <alignment horizontal="center"/>
    </xf>
    <xf numFmtId="1" fontId="5" fillId="12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7" borderId="6" xfId="0" applyFont="1" applyFill="1" applyBorder="1" applyAlignment="1">
      <alignment vertical="center"/>
    </xf>
    <xf numFmtId="0" fontId="12" fillId="7" borderId="4" xfId="0" applyFont="1" applyFill="1" applyBorder="1" applyAlignment="1">
      <alignment vertical="center"/>
    </xf>
    <xf numFmtId="0" fontId="12" fillId="0" borderId="6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6" fillId="0" borderId="1" xfId="1" applyBorder="1" applyAlignment="1">
      <alignment vertical="top"/>
    </xf>
    <xf numFmtId="0" fontId="26" fillId="0" borderId="4" xfId="1" applyBorder="1" applyAlignment="1">
      <alignment vertical="top" wrapText="1"/>
    </xf>
    <xf numFmtId="0" fontId="24" fillId="0" borderId="10" xfId="0" applyFont="1" applyFill="1" applyBorder="1" applyAlignment="1">
      <alignment horizontal="center" vertical="center"/>
    </xf>
    <xf numFmtId="0" fontId="26" fillId="0" borderId="30" xfId="1" applyBorder="1" applyAlignment="1">
      <alignment vertical="top" wrapText="1"/>
    </xf>
    <xf numFmtId="0" fontId="26" fillId="0" borderId="6" xfId="1" applyBorder="1" applyAlignment="1">
      <alignment vertical="top" wrapText="1"/>
    </xf>
    <xf numFmtId="0" fontId="13" fillId="0" borderId="7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/>
    </xf>
    <xf numFmtId="0" fontId="13" fillId="0" borderId="13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17" borderId="7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17" borderId="3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15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30" fillId="17" borderId="13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0" fontId="1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1" fontId="0" fillId="0" borderId="1" xfId="0" applyNumberFormat="1" applyBorder="1"/>
    <xf numFmtId="0" fontId="32" fillId="8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3" fillId="8" borderId="8" xfId="0" quotePrefix="1" applyFont="1" applyFill="1" applyBorder="1" applyAlignment="1">
      <alignment horizontal="center" vertical="center"/>
    </xf>
    <xf numFmtId="0" fontId="3" fillId="8" borderId="41" xfId="0" quotePrefix="1" applyFont="1" applyFill="1" applyBorder="1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9" fillId="0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34" fillId="8" borderId="8" xfId="0" quotePrefix="1" applyFont="1" applyFill="1" applyBorder="1" applyAlignment="1">
      <alignment horizontal="center" vertical="center"/>
    </xf>
    <xf numFmtId="0" fontId="34" fillId="8" borderId="1" xfId="0" quotePrefix="1" applyFont="1" applyFill="1" applyBorder="1" applyAlignment="1">
      <alignment horizontal="center" vertical="center"/>
    </xf>
    <xf numFmtId="0" fontId="34" fillId="8" borderId="3" xfId="0" quotePrefix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/>
    <xf numFmtId="0" fontId="6" fillId="0" borderId="0" xfId="0" applyFont="1"/>
    <xf numFmtId="0" fontId="35" fillId="8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7" xfId="0" applyBorder="1" applyAlignment="1">
      <alignment vertical="center"/>
    </xf>
    <xf numFmtId="0" fontId="38" fillId="18" borderId="31" xfId="0" applyFont="1" applyFill="1" applyBorder="1" applyAlignment="1">
      <alignment horizontal="center" vertical="center"/>
    </xf>
    <xf numFmtId="0" fontId="38" fillId="18" borderId="32" xfId="0" applyFont="1" applyFill="1" applyBorder="1" applyAlignment="1">
      <alignment horizontal="center" vertical="center"/>
    </xf>
    <xf numFmtId="0" fontId="38" fillId="18" borderId="3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3" fillId="0" borderId="1" xfId="0" applyFont="1" applyFill="1" applyBorder="1"/>
    <xf numFmtId="0" fontId="34" fillId="8" borderId="2" xfId="0" quotePrefix="1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Fill="1" applyBorder="1"/>
    <xf numFmtId="0" fontId="35" fillId="8" borderId="8" xfId="0" quotePrefix="1" applyFont="1" applyFill="1" applyBorder="1" applyAlignment="1">
      <alignment horizontal="center" vertical="center"/>
    </xf>
    <xf numFmtId="0" fontId="35" fillId="8" borderId="3" xfId="0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0" fillId="0" borderId="3" xfId="0" applyFill="1" applyBorder="1"/>
    <xf numFmtId="0" fontId="13" fillId="0" borderId="4" xfId="0" applyFont="1" applyBorder="1" applyAlignment="1">
      <alignment horizontal="center"/>
    </xf>
    <xf numFmtId="0" fontId="0" fillId="0" borderId="13" xfId="0" applyFill="1" applyBorder="1"/>
    <xf numFmtId="0" fontId="0" fillId="0" borderId="8" xfId="0" applyBorder="1"/>
    <xf numFmtId="0" fontId="0" fillId="0" borderId="8" xfId="0" applyFill="1" applyBorder="1"/>
    <xf numFmtId="0" fontId="0" fillId="0" borderId="11" xfId="0" applyBorder="1"/>
    <xf numFmtId="0" fontId="0" fillId="0" borderId="24" xfId="0" applyBorder="1" applyAlignment="1">
      <alignment horizontal="center"/>
    </xf>
    <xf numFmtId="0" fontId="13" fillId="0" borderId="4" xfId="0" applyFont="1" applyBorder="1"/>
    <xf numFmtId="0" fontId="13" fillId="0" borderId="12" xfId="0" applyFont="1" applyBorder="1"/>
    <xf numFmtId="0" fontId="13" fillId="0" borderId="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0" fillId="0" borderId="36" xfId="0" applyBorder="1"/>
    <xf numFmtId="0" fontId="0" fillId="0" borderId="10" xfId="0" applyBorder="1"/>
    <xf numFmtId="0" fontId="0" fillId="0" borderId="30" xfId="0" applyBorder="1"/>
    <xf numFmtId="0" fontId="0" fillId="0" borderId="40" xfId="0" applyBorder="1" applyAlignment="1">
      <alignment horizontal="center"/>
    </xf>
    <xf numFmtId="0" fontId="35" fillId="8" borderId="11" xfId="0" quotePrefix="1" applyFont="1" applyFill="1" applyBorder="1" applyAlignment="1">
      <alignment horizontal="center" vertical="center"/>
    </xf>
    <xf numFmtId="0" fontId="35" fillId="8" borderId="13" xfId="0" quotePrefix="1" applyFont="1" applyFill="1" applyBorder="1" applyAlignment="1">
      <alignment horizontal="center" vertical="center"/>
    </xf>
    <xf numFmtId="0" fontId="35" fillId="8" borderId="4" xfId="0" quotePrefix="1" applyFont="1" applyFill="1" applyBorder="1" applyAlignment="1">
      <alignment horizontal="center" vertical="center"/>
    </xf>
    <xf numFmtId="0" fontId="35" fillId="8" borderId="20" xfId="0" quotePrefix="1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35" fillId="8" borderId="12" xfId="0" quotePrefix="1" applyFont="1" applyFill="1" applyBorder="1" applyAlignment="1">
      <alignment horizontal="center" vertical="center"/>
    </xf>
    <xf numFmtId="0" fontId="35" fillId="8" borderId="26" xfId="0" quotePrefix="1" applyFont="1" applyFill="1" applyBorder="1" applyAlignment="1">
      <alignment horizontal="center" vertical="center"/>
    </xf>
    <xf numFmtId="0" fontId="36" fillId="20" borderId="22" xfId="0" applyFont="1" applyFill="1" applyBorder="1" applyAlignment="1">
      <alignment horizontal="center"/>
    </xf>
    <xf numFmtId="0" fontId="36" fillId="20" borderId="18" xfId="0" applyFont="1" applyFill="1" applyBorder="1" applyAlignment="1">
      <alignment horizontal="center"/>
    </xf>
    <xf numFmtId="0" fontId="36" fillId="9" borderId="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Fill="1" applyBorder="1"/>
    <xf numFmtId="0" fontId="36" fillId="9" borderId="3" xfId="0" applyFont="1" applyFill="1" applyBorder="1" applyAlignment="1">
      <alignment horizontal="center" vertical="center"/>
    </xf>
    <xf numFmtId="0" fontId="36" fillId="19" borderId="18" xfId="0" applyFont="1" applyFill="1" applyBorder="1" applyAlignment="1">
      <alignment horizontal="center"/>
    </xf>
    <xf numFmtId="0" fontId="13" fillId="0" borderId="30" xfId="0" applyFont="1" applyBorder="1"/>
    <xf numFmtId="0" fontId="34" fillId="8" borderId="1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4" fillId="20" borderId="1" xfId="0" applyFont="1" applyFill="1" applyBorder="1" applyAlignment="1">
      <alignment vertical="center"/>
    </xf>
    <xf numFmtId="0" fontId="34" fillId="8" borderId="3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0" fillId="0" borderId="43" xfId="0" applyFill="1" applyBorder="1"/>
    <xf numFmtId="0" fontId="0" fillId="0" borderId="44" xfId="0" applyFill="1" applyBorder="1"/>
    <xf numFmtId="0" fontId="0" fillId="0" borderId="42" xfId="0" applyFill="1" applyBorder="1"/>
    <xf numFmtId="0" fontId="0" fillId="0" borderId="54" xfId="0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9" fillId="0" borderId="55" xfId="0" applyFont="1" applyFill="1" applyBorder="1" applyAlignment="1">
      <alignment horizontal="center"/>
    </xf>
    <xf numFmtId="0" fontId="35" fillId="8" borderId="56" xfId="0" quotePrefix="1" applyFont="1" applyFill="1" applyBorder="1" applyAlignment="1">
      <alignment horizontal="center" vertical="center"/>
    </xf>
    <xf numFmtId="0" fontId="0" fillId="0" borderId="47" xfId="0" applyBorder="1"/>
    <xf numFmtId="0" fontId="0" fillId="0" borderId="41" xfId="0" applyBorder="1"/>
    <xf numFmtId="0" fontId="0" fillId="0" borderId="41" xfId="0" applyFill="1" applyBorder="1"/>
    <xf numFmtId="0" fontId="0" fillId="0" borderId="56" xfId="0" applyBorder="1"/>
    <xf numFmtId="16" fontId="40" fillId="8" borderId="4" xfId="0" quotePrefix="1" applyNumberFormat="1" applyFont="1" applyFill="1" applyBorder="1" applyAlignment="1">
      <alignment horizontal="center" vertical="center"/>
    </xf>
    <xf numFmtId="0" fontId="13" fillId="21" borderId="8" xfId="0" applyFont="1" applyFill="1" applyBorder="1" applyAlignment="1">
      <alignment horizontal="center"/>
    </xf>
    <xf numFmtId="0" fontId="13" fillId="21" borderId="1" xfId="0" applyFont="1" applyFill="1" applyBorder="1"/>
    <xf numFmtId="0" fontId="13" fillId="21" borderId="3" xfId="0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0" fontId="35" fillId="8" borderId="4" xfId="0" quotePrefix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/>
    </xf>
    <xf numFmtId="0" fontId="7" fillId="9" borderId="29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2" fontId="2" fillId="9" borderId="27" xfId="0" applyNumberFormat="1" applyFont="1" applyFill="1" applyBorder="1" applyAlignment="1">
      <alignment horizontal="center" vertical="center" wrapText="1"/>
    </xf>
    <xf numFmtId="2" fontId="2" fillId="9" borderId="17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1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0" borderId="23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5" borderId="23" xfId="0" applyFont="1" applyFill="1" applyBorder="1" applyAlignment="1">
      <alignment horizontal="right" vertical="center"/>
    </xf>
    <xf numFmtId="0" fontId="1" fillId="5" borderId="15" xfId="0" applyFont="1" applyFill="1" applyBorder="1" applyAlignment="1">
      <alignment horizontal="right" vertical="center"/>
    </xf>
    <xf numFmtId="0" fontId="1" fillId="5" borderId="24" xfId="0" applyFont="1" applyFill="1" applyBorder="1" applyAlignment="1">
      <alignment horizontal="right" vertical="center"/>
    </xf>
    <xf numFmtId="0" fontId="0" fillId="0" borderId="23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24" xfId="0" applyBorder="1" applyAlignment="1">
      <alignment horizontal="right"/>
    </xf>
    <xf numFmtId="0" fontId="2" fillId="2" borderId="23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8" borderId="8" xfId="0" quotePrefix="1" applyFont="1" applyFill="1" applyBorder="1" applyAlignment="1">
      <alignment horizontal="center" vertical="center"/>
    </xf>
    <xf numFmtId="0" fontId="3" fillId="8" borderId="3" xfId="0" quotePrefix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3" fillId="0" borderId="5" xfId="0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0" fontId="1" fillId="0" borderId="24" xfId="0" applyFont="1" applyFill="1" applyBorder="1" applyAlignment="1">
      <alignment horizontal="right" vertical="center"/>
    </xf>
    <xf numFmtId="0" fontId="0" fillId="0" borderId="23" xfId="0" applyFill="1" applyBorder="1" applyAlignment="1">
      <alignment horizontal="right"/>
    </xf>
    <xf numFmtId="0" fontId="0" fillId="0" borderId="15" xfId="0" applyFill="1" applyBorder="1" applyAlignment="1">
      <alignment horizontal="right"/>
    </xf>
    <xf numFmtId="0" fontId="0" fillId="0" borderId="24" xfId="0" applyFill="1" applyBorder="1" applyAlignment="1">
      <alignment horizontal="right"/>
    </xf>
    <xf numFmtId="0" fontId="0" fillId="0" borderId="2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2" fontId="2" fillId="9" borderId="8" xfId="0" applyNumberFormat="1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2" fontId="2" fillId="9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right" vertical="center"/>
    </xf>
    <xf numFmtId="0" fontId="1" fillId="0" borderId="17" xfId="0" applyFont="1" applyFill="1" applyBorder="1" applyAlignment="1">
      <alignment horizontal="right" vertical="center"/>
    </xf>
    <xf numFmtId="0" fontId="1" fillId="0" borderId="28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21" fillId="12" borderId="41" xfId="0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8" borderId="1" xfId="0" quotePrefix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28" xfId="0" applyFont="1" applyBorder="1" applyAlignment="1">
      <alignment horizontal="right" vertic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34" xfId="1" applyFont="1" applyBorder="1" applyAlignment="1">
      <alignment horizontal="center" vertical="center" textRotation="90"/>
    </xf>
    <xf numFmtId="0" fontId="29" fillId="0" borderId="35" xfId="1" applyFont="1" applyBorder="1" applyAlignment="1">
      <alignment horizontal="center" vertical="center" textRotation="90"/>
    </xf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19" borderId="5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6" fillId="19" borderId="7" xfId="0" applyFont="1" applyFill="1" applyBorder="1" applyAlignment="1">
      <alignment horizontal="center"/>
    </xf>
    <xf numFmtId="0" fontId="34" fillId="19" borderId="5" xfId="0" applyFont="1" applyFill="1" applyBorder="1" applyAlignment="1">
      <alignment horizontal="center" vertical="center"/>
    </xf>
    <xf numFmtId="0" fontId="34" fillId="19" borderId="8" xfId="0" applyFont="1" applyFill="1" applyBorder="1" applyAlignment="1">
      <alignment horizontal="center" vertical="center"/>
    </xf>
    <xf numFmtId="0" fontId="34" fillId="19" borderId="6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horizontal="center" vertical="center"/>
    </xf>
    <xf numFmtId="0" fontId="34" fillId="19" borderId="9" xfId="0" applyFont="1" applyFill="1" applyBorder="1" applyAlignment="1">
      <alignment horizontal="center" vertical="center"/>
    </xf>
    <xf numFmtId="0" fontId="34" fillId="19" borderId="2" xfId="0" applyFont="1" applyFill="1" applyBorder="1" applyAlignment="1">
      <alignment horizontal="center" vertical="center"/>
    </xf>
    <xf numFmtId="0" fontId="24" fillId="19" borderId="5" xfId="0" applyFont="1" applyFill="1" applyBorder="1" applyAlignment="1">
      <alignment horizontal="center"/>
    </xf>
    <xf numFmtId="0" fontId="24" fillId="19" borderId="6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24" fillId="19" borderId="8" xfId="0" applyFont="1" applyFill="1" applyBorder="1" applyAlignment="1">
      <alignment horizontal="center" wrapText="1"/>
    </xf>
    <xf numFmtId="0" fontId="24" fillId="19" borderId="1" xfId="0" applyFont="1" applyFill="1" applyBorder="1" applyAlignment="1">
      <alignment horizontal="center" wrapText="1"/>
    </xf>
    <xf numFmtId="0" fontId="24" fillId="19" borderId="3" xfId="0" applyFont="1" applyFill="1" applyBorder="1" applyAlignment="1">
      <alignment horizontal="center" wrapText="1"/>
    </xf>
    <xf numFmtId="0" fontId="24" fillId="19" borderId="11" xfId="0" applyFont="1" applyFill="1" applyBorder="1" applyAlignment="1">
      <alignment horizontal="center"/>
    </xf>
    <xf numFmtId="0" fontId="24" fillId="19" borderId="4" xfId="0" applyFont="1" applyFill="1" applyBorder="1" applyAlignment="1">
      <alignment horizontal="center"/>
    </xf>
    <xf numFmtId="0" fontId="24" fillId="19" borderId="13" xfId="0" applyFont="1" applyFill="1" applyBorder="1" applyAlignment="1">
      <alignment horizontal="center"/>
    </xf>
    <xf numFmtId="0" fontId="36" fillId="19" borderId="48" xfId="0" applyFont="1" applyFill="1" applyBorder="1" applyAlignment="1">
      <alignment horizontal="center"/>
    </xf>
    <xf numFmtId="0" fontId="34" fillId="19" borderId="5" xfId="0" applyFont="1" applyFill="1" applyBorder="1" applyAlignment="1">
      <alignment horizontal="center"/>
    </xf>
    <xf numFmtId="0" fontId="34" fillId="19" borderId="7" xfId="0" applyFont="1" applyFill="1" applyBorder="1" applyAlignment="1">
      <alignment horizontal="center"/>
    </xf>
    <xf numFmtId="0" fontId="24" fillId="9" borderId="5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8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34" fillId="9" borderId="23" xfId="0" applyFont="1" applyFill="1" applyBorder="1" applyAlignment="1">
      <alignment horizontal="center" vertical="center"/>
    </xf>
    <xf numFmtId="0" fontId="34" fillId="9" borderId="41" xfId="0" applyFont="1" applyFill="1" applyBorder="1" applyAlignment="1">
      <alignment horizontal="center" vertical="center"/>
    </xf>
    <xf numFmtId="0" fontId="36" fillId="9" borderId="2" xfId="0" applyFont="1" applyFill="1" applyBorder="1" applyAlignment="1">
      <alignment horizontal="center" vertical="center"/>
    </xf>
    <xf numFmtId="0" fontId="36" fillId="9" borderId="15" xfId="0" applyFont="1" applyFill="1" applyBorder="1" applyAlignment="1">
      <alignment horizontal="center" vertical="center"/>
    </xf>
    <xf numFmtId="0" fontId="36" fillId="9" borderId="41" xfId="0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33" fillId="9" borderId="7" xfId="0" applyFont="1" applyFill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0" fontId="24" fillId="9" borderId="44" xfId="0" applyFont="1" applyFill="1" applyBorder="1" applyAlignment="1">
      <alignment horizontal="center" vertical="center"/>
    </xf>
    <xf numFmtId="0" fontId="24" fillId="9" borderId="42" xfId="0" applyFont="1" applyFill="1" applyBorder="1" applyAlignment="1">
      <alignment horizontal="center" vertical="center"/>
    </xf>
    <xf numFmtId="0" fontId="24" fillId="9" borderId="43" xfId="0" applyFont="1" applyFill="1" applyBorder="1" applyAlignment="1">
      <alignment horizontal="center" vertical="center"/>
    </xf>
    <xf numFmtId="0" fontId="34" fillId="9" borderId="21" xfId="0" applyFont="1" applyFill="1" applyBorder="1" applyAlignment="1">
      <alignment horizontal="center" vertical="center"/>
    </xf>
    <xf numFmtId="0" fontId="34" fillId="9" borderId="48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36" fillId="9" borderId="14" xfId="0" applyFont="1" applyFill="1" applyBorder="1" applyAlignment="1">
      <alignment horizontal="center" vertical="center"/>
    </xf>
    <xf numFmtId="0" fontId="36" fillId="9" borderId="48" xfId="0" applyFont="1" applyFill="1" applyBorder="1" applyAlignment="1">
      <alignment horizontal="center" vertical="center"/>
    </xf>
    <xf numFmtId="0" fontId="36" fillId="20" borderId="5" xfId="0" applyFont="1" applyFill="1" applyBorder="1" applyAlignment="1">
      <alignment horizontal="center"/>
    </xf>
    <xf numFmtId="0" fontId="36" fillId="20" borderId="6" xfId="0" applyFont="1" applyFill="1" applyBorder="1" applyAlignment="1">
      <alignment horizontal="center"/>
    </xf>
    <xf numFmtId="0" fontId="36" fillId="20" borderId="7" xfId="0" applyFont="1" applyFill="1" applyBorder="1" applyAlignment="1">
      <alignment horizontal="center"/>
    </xf>
    <xf numFmtId="0" fontId="34" fillId="20" borderId="5" xfId="0" applyFont="1" applyFill="1" applyBorder="1" applyAlignment="1">
      <alignment horizontal="center"/>
    </xf>
    <xf numFmtId="0" fontId="34" fillId="20" borderId="9" xfId="0" applyFont="1" applyFill="1" applyBorder="1" applyAlignment="1">
      <alignment horizontal="center"/>
    </xf>
    <xf numFmtId="0" fontId="34" fillId="20" borderId="5" xfId="0" applyFont="1" applyFill="1" applyBorder="1" applyAlignment="1">
      <alignment horizontal="center" vertical="center"/>
    </xf>
    <xf numFmtId="0" fontId="34" fillId="20" borderId="8" xfId="0" applyFont="1" applyFill="1" applyBorder="1" applyAlignment="1">
      <alignment horizontal="center" vertical="center"/>
    </xf>
    <xf numFmtId="0" fontId="34" fillId="20" borderId="6" xfId="0" applyFont="1" applyFill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/>
    </xf>
    <xf numFmtId="0" fontId="34" fillId="20" borderId="9" xfId="0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/>
    </xf>
    <xf numFmtId="0" fontId="24" fillId="20" borderId="6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 wrapText="1"/>
    </xf>
    <xf numFmtId="0" fontId="24" fillId="20" borderId="1" xfId="0" applyFont="1" applyFill="1" applyBorder="1" applyAlignment="1">
      <alignment horizontal="center" wrapText="1"/>
    </xf>
    <xf numFmtId="0" fontId="24" fillId="20" borderId="3" xfId="0" applyFont="1" applyFill="1" applyBorder="1" applyAlignment="1">
      <alignment horizontal="center" wrapText="1"/>
    </xf>
    <xf numFmtId="0" fontId="24" fillId="20" borderId="11" xfId="0" applyFont="1" applyFill="1" applyBorder="1" applyAlignment="1">
      <alignment horizontal="center"/>
    </xf>
    <xf numFmtId="0" fontId="24" fillId="20" borderId="4" xfId="0" applyFont="1" applyFill="1" applyBorder="1" applyAlignment="1">
      <alignment horizontal="center"/>
    </xf>
    <xf numFmtId="0" fontId="24" fillId="20" borderId="13" xfId="0" applyFont="1" applyFill="1" applyBorder="1" applyAlignment="1">
      <alignment horizontal="center"/>
    </xf>
    <xf numFmtId="0" fontId="24" fillId="20" borderId="44" xfId="0" applyFont="1" applyFill="1" applyBorder="1" applyAlignment="1">
      <alignment horizontal="center"/>
    </xf>
    <xf numFmtId="0" fontId="24" fillId="20" borderId="42" xfId="0" applyFont="1" applyFill="1" applyBorder="1" applyAlignment="1">
      <alignment horizontal="center"/>
    </xf>
    <xf numFmtId="0" fontId="24" fillId="20" borderId="43" xfId="0" applyFont="1" applyFill="1" applyBorder="1" applyAlignment="1">
      <alignment horizontal="center"/>
    </xf>
    <xf numFmtId="0" fontId="39" fillId="20" borderId="5" xfId="0" applyFont="1" applyFill="1" applyBorder="1" applyAlignment="1">
      <alignment horizontal="center" vertical="center" textRotation="45"/>
    </xf>
    <xf numFmtId="0" fontId="39" fillId="20" borderId="8" xfId="0" applyFont="1" applyFill="1" applyBorder="1" applyAlignment="1">
      <alignment horizontal="center" vertical="center" textRotation="45"/>
    </xf>
    <xf numFmtId="0" fontId="39" fillId="20" borderId="11" xfId="0" applyFont="1" applyFill="1" applyBorder="1" applyAlignment="1">
      <alignment horizontal="center" vertical="center" textRotation="45"/>
    </xf>
    <xf numFmtId="0" fontId="39" fillId="20" borderId="5" xfId="0" applyFont="1" applyFill="1" applyBorder="1" applyAlignment="1">
      <alignment horizontal="center" vertical="center" textRotation="45" wrapText="1"/>
    </xf>
    <xf numFmtId="0" fontId="39" fillId="20" borderId="8" xfId="0" applyFont="1" applyFill="1" applyBorder="1" applyAlignment="1">
      <alignment horizontal="center" vertical="center" textRotation="45" wrapText="1"/>
    </xf>
    <xf numFmtId="0" fontId="39" fillId="20" borderId="11" xfId="0" applyFont="1" applyFill="1" applyBorder="1" applyAlignment="1">
      <alignment horizontal="center" vertical="center" textRotation="45" wrapText="1"/>
    </xf>
    <xf numFmtId="0" fontId="39" fillId="20" borderId="10" xfId="0" applyFont="1" applyFill="1" applyBorder="1" applyAlignment="1">
      <alignment horizontal="center" vertical="center" textRotation="45"/>
    </xf>
    <xf numFmtId="0" fontId="24" fillId="20" borderId="50" xfId="0" applyFont="1" applyFill="1" applyBorder="1" applyAlignment="1">
      <alignment horizontal="center" vertical="center"/>
    </xf>
    <xf numFmtId="0" fontId="24" fillId="20" borderId="51" xfId="0" applyFont="1" applyFill="1" applyBorder="1" applyAlignment="1">
      <alignment horizontal="center" vertical="center"/>
    </xf>
    <xf numFmtId="0" fontId="24" fillId="20" borderId="46" xfId="0" applyFont="1" applyFill="1" applyBorder="1" applyAlignment="1">
      <alignment horizontal="center" vertical="center"/>
    </xf>
    <xf numFmtId="0" fontId="24" fillId="20" borderId="52" xfId="0" applyFont="1" applyFill="1" applyBorder="1" applyAlignment="1">
      <alignment horizontal="center" vertical="center"/>
    </xf>
    <xf numFmtId="0" fontId="24" fillId="20" borderId="0" xfId="0" applyFont="1" applyFill="1" applyBorder="1" applyAlignment="1">
      <alignment horizontal="center" vertical="center"/>
    </xf>
    <xf numFmtId="0" fontId="24" fillId="20" borderId="53" xfId="0" applyFont="1" applyFill="1" applyBorder="1" applyAlignment="1">
      <alignment horizontal="center" vertical="center"/>
    </xf>
    <xf numFmtId="0" fontId="24" fillId="20" borderId="45" xfId="0" applyFont="1" applyFill="1" applyBorder="1" applyAlignment="1">
      <alignment horizontal="center" vertical="center"/>
    </xf>
    <xf numFmtId="0" fontId="24" fillId="20" borderId="17" xfId="0" applyFont="1" applyFill="1" applyBorder="1" applyAlignment="1">
      <alignment horizontal="center" vertical="center"/>
    </xf>
    <xf numFmtId="0" fontId="24" fillId="20" borderId="47" xfId="0" applyFont="1" applyFill="1" applyBorder="1" applyAlignment="1">
      <alignment horizontal="center" vertical="center"/>
    </xf>
    <xf numFmtId="0" fontId="34" fillId="8" borderId="42" xfId="0" applyFont="1" applyFill="1" applyBorder="1" applyAlignment="1">
      <alignment horizontal="center" vertical="center"/>
    </xf>
    <xf numFmtId="0" fontId="34" fillId="8" borderId="30" xfId="0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center" vertical="center"/>
    </xf>
    <xf numFmtId="0" fontId="24" fillId="20" borderId="15" xfId="0" applyFont="1" applyFill="1" applyBorder="1" applyAlignment="1">
      <alignment horizontal="center" vertical="center"/>
    </xf>
    <xf numFmtId="0" fontId="34" fillId="20" borderId="50" xfId="0" applyFont="1" applyFill="1" applyBorder="1" applyAlignment="1">
      <alignment horizontal="center" vertical="center"/>
    </xf>
    <xf numFmtId="0" fontId="34" fillId="20" borderId="51" xfId="0" applyFont="1" applyFill="1" applyBorder="1" applyAlignment="1">
      <alignment horizontal="center" vertical="center"/>
    </xf>
    <xf numFmtId="0" fontId="34" fillId="20" borderId="4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gle/CKHzK4cVAiwesrkw6" TargetMode="External"/><Relationship Id="rId3" Type="http://schemas.openxmlformats.org/officeDocument/2006/relationships/hyperlink" Target="https://drive.google.com/file/d/1xXaYKCSKix5OrXFt4Wg_vq3_OJu7PNS5/view?usp=sharing" TargetMode="External"/><Relationship Id="rId7" Type="http://schemas.openxmlformats.org/officeDocument/2006/relationships/hyperlink" Target="https://docs.google.com/document/d/1XccgmYizPI0QG7Tyu2hWjUbcWT9xTQPi/edit?usp=sharing&amp;ouid=101016139641050089899&amp;rtpof=true&amp;sd=true" TargetMode="External"/><Relationship Id="rId2" Type="http://schemas.openxmlformats.org/officeDocument/2006/relationships/hyperlink" Target="https://docs.google.com/document/d/1MHeRHOzAMJEYvChLAc_uu07o8lbRcaVR/edit?usp=sharing&amp;ouid=101016139641050089899&amp;rtpof=true&amp;sd=true" TargetMode="External"/><Relationship Id="rId1" Type="http://schemas.openxmlformats.org/officeDocument/2006/relationships/hyperlink" Target="https://forms.gle/VkQ9jAutdyyVSrRy9" TargetMode="External"/><Relationship Id="rId6" Type="http://schemas.openxmlformats.org/officeDocument/2006/relationships/hyperlink" Target="https://docs.google.com/document/d/1pPP9cElu0zwIUXlkV7aiyfEmBTsWTdRi/edit?usp=sharing&amp;ouid=101016139641050089899&amp;rtpof=true&amp;sd=true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https://forms.gle/bBsrjHg82jKRh68A8" TargetMode="External"/><Relationship Id="rId10" Type="http://schemas.openxmlformats.org/officeDocument/2006/relationships/hyperlink" Target="mailto:asep.sukandar_ti23@nusaputra.ac.id" TargetMode="External"/><Relationship Id="rId4" Type="http://schemas.openxmlformats.org/officeDocument/2006/relationships/hyperlink" Target="https://drive.google.com/file/d/1hLlGreWXfloQwmqPWYOGHMTJaSWSFsEz/view?usp=sharing" TargetMode="External"/><Relationship Id="rId9" Type="http://schemas.openxmlformats.org/officeDocument/2006/relationships/hyperlink" Target="https://drive.google.com/file/d/1VQUNEPxUM0mi_NE6Vb0IX9BrMnr0OfSU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zoomScaleNormal="100" workbookViewId="0">
      <pane ySplit="1" topLeftCell="A2" activePane="bottomLeft" state="frozen"/>
      <selection activeCell="C1" sqref="C1"/>
      <selection pane="bottomLeft" activeCell="G10" sqref="G10"/>
    </sheetView>
  </sheetViews>
  <sheetFormatPr defaultRowHeight="14.5" x14ac:dyDescent="0.35"/>
  <cols>
    <col min="1" max="1" width="3.81640625" bestFit="1" customWidth="1"/>
    <col min="2" max="2" width="14.26953125" bestFit="1" customWidth="1"/>
    <col min="3" max="3" width="45.1796875" bestFit="1" customWidth="1"/>
    <col min="4" max="5" width="2.54296875" bestFit="1" customWidth="1"/>
    <col min="6" max="6" width="6.26953125" bestFit="1" customWidth="1"/>
    <col min="7" max="7" width="10" style="5" bestFit="1" customWidth="1"/>
    <col min="8" max="8" width="11.26953125" style="5" customWidth="1"/>
    <col min="9" max="9" width="12.26953125" style="5" bestFit="1" customWidth="1"/>
    <col min="10" max="11" width="8.7265625" style="5" bestFit="1" customWidth="1"/>
    <col min="12" max="12" width="11.81640625" style="5" bestFit="1" customWidth="1"/>
    <col min="13" max="13" width="5.7265625" style="5" bestFit="1" customWidth="1"/>
    <col min="14" max="14" width="12.54296875" style="5" bestFit="1" customWidth="1"/>
    <col min="15" max="15" width="6.1796875" style="5" bestFit="1" customWidth="1"/>
    <col min="16" max="16" width="13.7265625" style="5" bestFit="1" customWidth="1"/>
  </cols>
  <sheetData>
    <row r="1" spans="1:18" x14ac:dyDescent="0.35">
      <c r="A1" s="337" t="s">
        <v>75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/>
    </row>
    <row r="2" spans="1:18" x14ac:dyDescent="0.35">
      <c r="A2" s="337" t="s">
        <v>20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/>
    </row>
    <row r="3" spans="1:18" x14ac:dyDescent="0.35">
      <c r="A3" s="337" t="s">
        <v>232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/>
    </row>
    <row r="4" spans="1:18" ht="15" thickBot="1" x14ac:dyDescent="0.4">
      <c r="G4" s="6"/>
      <c r="H4" s="6"/>
      <c r="I4" s="6"/>
      <c r="J4" s="6"/>
      <c r="K4" s="6"/>
      <c r="L4" s="6"/>
      <c r="M4" s="6"/>
      <c r="N4" s="6"/>
      <c r="O4" s="6"/>
      <c r="P4" s="6"/>
    </row>
    <row r="5" spans="1:18" ht="15.5" x14ac:dyDescent="0.35">
      <c r="A5" s="340" t="s">
        <v>1</v>
      </c>
      <c r="B5" s="348" t="s">
        <v>2</v>
      </c>
      <c r="C5" s="349" t="s">
        <v>3</v>
      </c>
      <c r="D5" s="340" t="s">
        <v>4</v>
      </c>
      <c r="E5" s="341"/>
      <c r="F5" s="346" t="s">
        <v>36</v>
      </c>
      <c r="G5" s="314" t="s">
        <v>127</v>
      </c>
      <c r="H5" s="315"/>
      <c r="I5" s="315"/>
      <c r="J5" s="315"/>
      <c r="K5" s="315"/>
      <c r="L5" s="315"/>
      <c r="M5" s="315"/>
      <c r="N5" s="315"/>
      <c r="O5" s="315"/>
      <c r="P5" s="315"/>
    </row>
    <row r="6" spans="1:18" ht="15.5" x14ac:dyDescent="0.35">
      <c r="A6" s="342"/>
      <c r="B6" s="338"/>
      <c r="C6" s="350"/>
      <c r="D6" s="342"/>
      <c r="E6" s="343"/>
      <c r="F6" s="347"/>
      <c r="G6" s="316" t="s">
        <v>24</v>
      </c>
      <c r="H6" s="317"/>
      <c r="I6" s="317"/>
      <c r="J6" s="317"/>
      <c r="K6" s="317"/>
      <c r="L6" s="317"/>
      <c r="M6" s="317"/>
      <c r="N6" s="317"/>
      <c r="O6" s="317"/>
      <c r="P6" s="317"/>
    </row>
    <row r="7" spans="1:18" ht="15.75" customHeight="1" x14ac:dyDescent="0.35">
      <c r="A7" s="342"/>
      <c r="B7" s="338"/>
      <c r="C7" s="350"/>
      <c r="D7" s="342"/>
      <c r="E7" s="343"/>
      <c r="F7" s="347"/>
      <c r="G7" s="318" t="s">
        <v>23</v>
      </c>
      <c r="H7" s="319"/>
      <c r="I7" s="319"/>
      <c r="J7" s="319"/>
      <c r="K7" s="319"/>
      <c r="L7" s="319"/>
      <c r="M7" s="319"/>
      <c r="N7" s="319"/>
      <c r="O7" s="319"/>
      <c r="P7" s="319"/>
    </row>
    <row r="8" spans="1:18" x14ac:dyDescent="0.35">
      <c r="A8" s="342"/>
      <c r="B8" s="338"/>
      <c r="C8" s="350"/>
      <c r="D8" s="342"/>
      <c r="E8" s="343"/>
      <c r="F8" s="347"/>
      <c r="G8" s="335" t="s">
        <v>11</v>
      </c>
      <c r="H8" s="336"/>
      <c r="I8" s="21" t="s">
        <v>16</v>
      </c>
      <c r="J8" s="21" t="s">
        <v>15</v>
      </c>
      <c r="K8" s="338" t="s">
        <v>19</v>
      </c>
      <c r="L8" s="338"/>
      <c r="M8" s="339" t="s">
        <v>14</v>
      </c>
      <c r="N8" s="18" t="s">
        <v>18</v>
      </c>
      <c r="O8" s="1" t="s">
        <v>73</v>
      </c>
      <c r="P8" s="108" t="s">
        <v>187</v>
      </c>
    </row>
    <row r="9" spans="1:18" s="96" customFormat="1" ht="15.75" customHeight="1" x14ac:dyDescent="0.35">
      <c r="A9" s="91">
        <v>1</v>
      </c>
      <c r="B9" s="92">
        <v>2</v>
      </c>
      <c r="C9" s="93">
        <v>3</v>
      </c>
      <c r="D9" s="344">
        <v>4</v>
      </c>
      <c r="E9" s="345"/>
      <c r="F9" s="94">
        <v>5</v>
      </c>
      <c r="G9" s="197" t="s">
        <v>231</v>
      </c>
      <c r="H9" s="198" t="s">
        <v>187</v>
      </c>
      <c r="I9" s="92" t="s">
        <v>22</v>
      </c>
      <c r="J9" s="92" t="s">
        <v>12</v>
      </c>
      <c r="K9" s="92" t="s">
        <v>12</v>
      </c>
      <c r="L9" s="92" t="s">
        <v>13</v>
      </c>
      <c r="M9" s="339"/>
      <c r="N9" s="92" t="s">
        <v>17</v>
      </c>
      <c r="O9" s="95" t="s">
        <v>74</v>
      </c>
      <c r="P9" s="109" t="s">
        <v>17</v>
      </c>
    </row>
    <row r="10" spans="1:18" ht="15" customHeight="1" x14ac:dyDescent="0.35">
      <c r="A10" s="8">
        <v>1</v>
      </c>
      <c r="B10" s="25">
        <v>242501001</v>
      </c>
      <c r="C10" s="34" t="s">
        <v>25</v>
      </c>
      <c r="D10" s="37" t="s">
        <v>26</v>
      </c>
      <c r="E10" s="38"/>
      <c r="F10" s="31" t="s">
        <v>37</v>
      </c>
      <c r="G10" s="105">
        <v>0</v>
      </c>
      <c r="H10" s="105" t="str">
        <f>IF(G10&gt;15,"84",IF(G10&gt;7,"78","60"))</f>
        <v>60</v>
      </c>
      <c r="I10" s="106">
        <v>0</v>
      </c>
      <c r="J10" s="107">
        <v>0</v>
      </c>
      <c r="K10" s="22">
        <v>0</v>
      </c>
      <c r="L10" s="70">
        <v>0</v>
      </c>
      <c r="M10" s="22">
        <f>AVERAGE(H10:L10)</f>
        <v>0</v>
      </c>
      <c r="N10" s="19" t="e">
        <f>$M$58+((M10-$M$56)/($M$55-$M$56))*($M$59-$M$58)</f>
        <v>#DIV/0!</v>
      </c>
      <c r="O10" s="3">
        <f t="shared" ref="O10:O53" si="0">(0.1*G10)+(0.5*I10)+(0.15*J10)+(0.25*M10)</f>
        <v>0</v>
      </c>
      <c r="P10" s="19" t="e">
        <f>$O$58+((O10-$O$56)/($O$55-$O$56))*($O$59-$O$58)</f>
        <v>#DIV/0!</v>
      </c>
      <c r="Q10" s="313" t="s">
        <v>186</v>
      </c>
      <c r="R10" s="313"/>
    </row>
    <row r="11" spans="1:18" x14ac:dyDescent="0.35">
      <c r="A11" s="8">
        <v>2</v>
      </c>
      <c r="B11" s="25">
        <v>242501002</v>
      </c>
      <c r="C11" s="34" t="s">
        <v>27</v>
      </c>
      <c r="D11" s="37" t="s">
        <v>26</v>
      </c>
      <c r="E11" s="38"/>
      <c r="F11" s="31" t="s">
        <v>37</v>
      </c>
      <c r="G11" s="105">
        <v>0</v>
      </c>
      <c r="H11" s="105" t="str">
        <f t="shared" ref="H11:H53" si="1">IF(G11&gt;15,"84",IF(G11&gt;7,"78","60"))</f>
        <v>60</v>
      </c>
      <c r="I11" s="106">
        <v>0</v>
      </c>
      <c r="J11" s="107">
        <v>0</v>
      </c>
      <c r="K11" s="22">
        <v>0</v>
      </c>
      <c r="L11" s="70">
        <v>0</v>
      </c>
      <c r="M11" s="22">
        <f t="shared" ref="M11:M53" si="2">AVERAGE(H11:L11)</f>
        <v>0</v>
      </c>
      <c r="N11" s="19" t="e">
        <f t="shared" ref="N11:N53" si="3">$M$58+((M11-$M$56)/($M$55-$M$56))*($M$59-$M$58)</f>
        <v>#DIV/0!</v>
      </c>
      <c r="O11" s="3">
        <f t="shared" si="0"/>
        <v>0</v>
      </c>
      <c r="P11" s="19" t="e">
        <f t="shared" ref="P11:P53" si="4">$O$58+((O11-$O$56)/($O$55-$O$56))*($O$59-$O$58)</f>
        <v>#DIV/0!</v>
      </c>
      <c r="Q11" s="313"/>
      <c r="R11" s="313"/>
    </row>
    <row r="12" spans="1:18" x14ac:dyDescent="0.35">
      <c r="A12" s="8">
        <v>3</v>
      </c>
      <c r="B12" s="25">
        <v>242501003</v>
      </c>
      <c r="C12" s="34" t="s">
        <v>28</v>
      </c>
      <c r="D12" s="37" t="s">
        <v>26</v>
      </c>
      <c r="E12" s="38"/>
      <c r="F12" s="31" t="s">
        <v>37</v>
      </c>
      <c r="G12" s="105">
        <v>0</v>
      </c>
      <c r="H12" s="105" t="str">
        <f t="shared" si="1"/>
        <v>60</v>
      </c>
      <c r="I12" s="106">
        <v>0</v>
      </c>
      <c r="J12" s="107">
        <v>0</v>
      </c>
      <c r="K12" s="22">
        <v>0</v>
      </c>
      <c r="L12" s="70">
        <v>0</v>
      </c>
      <c r="M12" s="22">
        <f t="shared" si="2"/>
        <v>0</v>
      </c>
      <c r="N12" s="19" t="e">
        <f t="shared" si="3"/>
        <v>#DIV/0!</v>
      </c>
      <c r="O12" s="3">
        <f t="shared" si="0"/>
        <v>0</v>
      </c>
      <c r="P12" s="19" t="e">
        <f t="shared" si="4"/>
        <v>#DIV/0!</v>
      </c>
      <c r="Q12" s="104" t="s">
        <v>185</v>
      </c>
      <c r="R12" s="104">
        <v>78</v>
      </c>
    </row>
    <row r="13" spans="1:18" x14ac:dyDescent="0.35">
      <c r="A13" s="8">
        <v>4</v>
      </c>
      <c r="B13" s="25">
        <v>242501004</v>
      </c>
      <c r="C13" s="34" t="s">
        <v>29</v>
      </c>
      <c r="D13" s="37" t="s">
        <v>26</v>
      </c>
      <c r="E13" s="38"/>
      <c r="F13" s="31" t="s">
        <v>37</v>
      </c>
      <c r="G13" s="105">
        <v>0</v>
      </c>
      <c r="H13" s="105" t="str">
        <f t="shared" si="1"/>
        <v>60</v>
      </c>
      <c r="I13" s="106">
        <v>0</v>
      </c>
      <c r="J13" s="107">
        <v>0</v>
      </c>
      <c r="K13" s="22">
        <v>0</v>
      </c>
      <c r="L13" s="70">
        <v>0</v>
      </c>
      <c r="M13" s="22">
        <f t="shared" si="2"/>
        <v>0</v>
      </c>
      <c r="N13" s="19" t="e">
        <f t="shared" si="3"/>
        <v>#DIV/0!</v>
      </c>
      <c r="O13" s="3">
        <f t="shared" si="0"/>
        <v>0</v>
      </c>
      <c r="P13" s="19" t="e">
        <f t="shared" si="4"/>
        <v>#DIV/0!</v>
      </c>
      <c r="Q13" s="104" t="s">
        <v>184</v>
      </c>
      <c r="R13" s="104">
        <v>80</v>
      </c>
    </row>
    <row r="14" spans="1:18" x14ac:dyDescent="0.35">
      <c r="A14" s="8">
        <v>5</v>
      </c>
      <c r="B14" s="25">
        <v>242501105</v>
      </c>
      <c r="C14" s="34" t="s">
        <v>30</v>
      </c>
      <c r="D14" s="37"/>
      <c r="E14" s="38" t="s">
        <v>26</v>
      </c>
      <c r="F14" s="31" t="s">
        <v>37</v>
      </c>
      <c r="G14" s="105">
        <v>0</v>
      </c>
      <c r="H14" s="105" t="str">
        <f t="shared" si="1"/>
        <v>60</v>
      </c>
      <c r="I14" s="106">
        <v>0</v>
      </c>
      <c r="J14" s="107">
        <v>0</v>
      </c>
      <c r="K14" s="22">
        <v>0</v>
      </c>
      <c r="L14" s="70">
        <v>0</v>
      </c>
      <c r="M14" s="22">
        <f t="shared" si="2"/>
        <v>0</v>
      </c>
      <c r="N14" s="19" t="e">
        <f t="shared" si="3"/>
        <v>#DIV/0!</v>
      </c>
      <c r="O14" s="3">
        <f t="shared" si="0"/>
        <v>0</v>
      </c>
      <c r="P14" s="19" t="e">
        <f t="shared" si="4"/>
        <v>#DIV/0!</v>
      </c>
      <c r="Q14" s="104" t="s">
        <v>180</v>
      </c>
      <c r="R14" s="104">
        <v>83</v>
      </c>
    </row>
    <row r="15" spans="1:18" x14ac:dyDescent="0.35">
      <c r="A15" s="8">
        <v>6</v>
      </c>
      <c r="B15" s="25">
        <v>242501005</v>
      </c>
      <c r="C15" s="34" t="s">
        <v>31</v>
      </c>
      <c r="D15" s="37" t="s">
        <v>26</v>
      </c>
      <c r="E15" s="38"/>
      <c r="F15" s="31" t="s">
        <v>37</v>
      </c>
      <c r="G15" s="105">
        <v>0</v>
      </c>
      <c r="H15" s="105" t="str">
        <f t="shared" si="1"/>
        <v>60</v>
      </c>
      <c r="I15" s="106">
        <v>0</v>
      </c>
      <c r="J15" s="107">
        <v>0</v>
      </c>
      <c r="K15" s="22">
        <v>0</v>
      </c>
      <c r="L15" s="70">
        <v>0</v>
      </c>
      <c r="M15" s="22">
        <f t="shared" si="2"/>
        <v>0</v>
      </c>
      <c r="N15" s="19" t="e">
        <f t="shared" si="3"/>
        <v>#DIV/0!</v>
      </c>
      <c r="O15" s="3">
        <f t="shared" si="0"/>
        <v>0</v>
      </c>
      <c r="P15" s="19" t="e">
        <f t="shared" si="4"/>
        <v>#DIV/0!</v>
      </c>
      <c r="Q15" s="104" t="s">
        <v>181</v>
      </c>
      <c r="R15" s="104">
        <v>87</v>
      </c>
    </row>
    <row r="16" spans="1:18" x14ac:dyDescent="0.35">
      <c r="A16" s="8">
        <v>7</v>
      </c>
      <c r="B16" s="25">
        <v>242501006</v>
      </c>
      <c r="C16" s="34" t="s">
        <v>32</v>
      </c>
      <c r="D16" s="37"/>
      <c r="E16" s="38" t="s">
        <v>26</v>
      </c>
      <c r="F16" s="31" t="s">
        <v>37</v>
      </c>
      <c r="G16" s="105">
        <v>0</v>
      </c>
      <c r="H16" s="105" t="str">
        <f t="shared" si="1"/>
        <v>60</v>
      </c>
      <c r="I16" s="106">
        <v>0</v>
      </c>
      <c r="J16" s="107">
        <v>0</v>
      </c>
      <c r="K16" s="22">
        <v>0</v>
      </c>
      <c r="L16" s="70">
        <v>0</v>
      </c>
      <c r="M16" s="22">
        <f t="shared" si="2"/>
        <v>0</v>
      </c>
      <c r="N16" s="19" t="e">
        <f t="shared" si="3"/>
        <v>#DIV/0!</v>
      </c>
      <c r="O16" s="3">
        <f t="shared" si="0"/>
        <v>0</v>
      </c>
      <c r="P16" s="19" t="e">
        <f t="shared" si="4"/>
        <v>#DIV/0!</v>
      </c>
      <c r="Q16" s="104" t="s">
        <v>182</v>
      </c>
      <c r="R16" s="104">
        <v>90</v>
      </c>
    </row>
    <row r="17" spans="1:18" x14ac:dyDescent="0.35">
      <c r="A17" s="8">
        <v>8</v>
      </c>
      <c r="B17" s="25">
        <v>242501007</v>
      </c>
      <c r="C17" s="34" t="s">
        <v>33</v>
      </c>
      <c r="D17" s="37" t="s">
        <v>26</v>
      </c>
      <c r="E17" s="38"/>
      <c r="F17" s="31" t="s">
        <v>37</v>
      </c>
      <c r="G17" s="105">
        <v>0</v>
      </c>
      <c r="H17" s="105" t="str">
        <f t="shared" si="1"/>
        <v>60</v>
      </c>
      <c r="I17" s="106">
        <v>0</v>
      </c>
      <c r="J17" s="107">
        <v>0</v>
      </c>
      <c r="K17" s="22">
        <v>0</v>
      </c>
      <c r="L17" s="70">
        <v>0</v>
      </c>
      <c r="M17" s="22">
        <f t="shared" si="2"/>
        <v>0</v>
      </c>
      <c r="N17" s="19" t="e">
        <f t="shared" si="3"/>
        <v>#DIV/0!</v>
      </c>
      <c r="O17" s="3">
        <f t="shared" si="0"/>
        <v>0</v>
      </c>
      <c r="P17" s="19" t="e">
        <f t="shared" si="4"/>
        <v>#DIV/0!</v>
      </c>
      <c r="Q17" s="104" t="s">
        <v>183</v>
      </c>
      <c r="R17" s="104">
        <v>93</v>
      </c>
    </row>
    <row r="18" spans="1:18" x14ac:dyDescent="0.35">
      <c r="A18" s="8">
        <v>9</v>
      </c>
      <c r="B18" s="25">
        <v>242501008</v>
      </c>
      <c r="C18" s="34" t="s">
        <v>34</v>
      </c>
      <c r="D18" s="37" t="s">
        <v>26</v>
      </c>
      <c r="E18" s="38"/>
      <c r="F18" s="31" t="s">
        <v>37</v>
      </c>
      <c r="G18" s="105">
        <v>0</v>
      </c>
      <c r="H18" s="105" t="str">
        <f t="shared" si="1"/>
        <v>60</v>
      </c>
      <c r="I18" s="106">
        <v>0</v>
      </c>
      <c r="J18" s="107">
        <v>0</v>
      </c>
      <c r="K18" s="22">
        <v>0</v>
      </c>
      <c r="L18" s="70">
        <v>0</v>
      </c>
      <c r="M18" s="22">
        <f t="shared" si="2"/>
        <v>0</v>
      </c>
      <c r="N18" s="19" t="e">
        <f t="shared" si="3"/>
        <v>#DIV/0!</v>
      </c>
      <c r="O18" s="3">
        <f t="shared" si="0"/>
        <v>0</v>
      </c>
      <c r="P18" s="19" t="e">
        <f t="shared" si="4"/>
        <v>#DIV/0!</v>
      </c>
    </row>
    <row r="19" spans="1:18" x14ac:dyDescent="0.35">
      <c r="A19" s="8">
        <v>10</v>
      </c>
      <c r="B19" s="25">
        <v>242501009</v>
      </c>
      <c r="C19" s="34" t="s">
        <v>35</v>
      </c>
      <c r="D19" s="37"/>
      <c r="E19" s="38" t="s">
        <v>26</v>
      </c>
      <c r="F19" s="31" t="s">
        <v>37</v>
      </c>
      <c r="G19" s="105">
        <v>0</v>
      </c>
      <c r="H19" s="105" t="str">
        <f t="shared" si="1"/>
        <v>60</v>
      </c>
      <c r="I19" s="106">
        <v>0</v>
      </c>
      <c r="J19" s="107">
        <v>0</v>
      </c>
      <c r="K19" s="22">
        <v>0</v>
      </c>
      <c r="L19" s="70">
        <v>0</v>
      </c>
      <c r="M19" s="22">
        <f t="shared" si="2"/>
        <v>0</v>
      </c>
      <c r="N19" s="19" t="e">
        <f t="shared" si="3"/>
        <v>#DIV/0!</v>
      </c>
      <c r="O19" s="3">
        <f t="shared" si="0"/>
        <v>0</v>
      </c>
      <c r="P19" s="19" t="e">
        <f t="shared" si="4"/>
        <v>#DIV/0!</v>
      </c>
    </row>
    <row r="20" spans="1:18" ht="15.5" x14ac:dyDescent="0.35">
      <c r="A20" s="8">
        <v>11</v>
      </c>
      <c r="B20" s="27">
        <v>242501010</v>
      </c>
      <c r="C20" s="35" t="s">
        <v>38</v>
      </c>
      <c r="D20" s="39" t="s">
        <v>26</v>
      </c>
      <c r="E20" s="40"/>
      <c r="F20" s="32" t="s">
        <v>72</v>
      </c>
      <c r="G20" s="105">
        <v>0</v>
      </c>
      <c r="H20" s="105" t="str">
        <f t="shared" si="1"/>
        <v>60</v>
      </c>
      <c r="I20" s="106">
        <v>0</v>
      </c>
      <c r="J20" s="107">
        <v>0</v>
      </c>
      <c r="K20" s="22">
        <v>0</v>
      </c>
      <c r="L20" s="70">
        <v>0</v>
      </c>
      <c r="M20" s="22">
        <f t="shared" si="2"/>
        <v>0</v>
      </c>
      <c r="N20" s="19" t="e">
        <f t="shared" si="3"/>
        <v>#DIV/0!</v>
      </c>
      <c r="O20" s="3">
        <f t="shared" si="0"/>
        <v>0</v>
      </c>
      <c r="P20" s="19" t="e">
        <f t="shared" si="4"/>
        <v>#DIV/0!</v>
      </c>
    </row>
    <row r="21" spans="1:18" ht="15.5" x14ac:dyDescent="0.35">
      <c r="A21" s="8">
        <v>12</v>
      </c>
      <c r="B21" s="27">
        <v>242501011</v>
      </c>
      <c r="C21" s="35" t="s">
        <v>39</v>
      </c>
      <c r="D21" s="39" t="s">
        <v>26</v>
      </c>
      <c r="E21" s="40"/>
      <c r="F21" s="32" t="s">
        <v>72</v>
      </c>
      <c r="G21" s="105">
        <v>0</v>
      </c>
      <c r="H21" s="105" t="str">
        <f t="shared" si="1"/>
        <v>60</v>
      </c>
      <c r="I21" s="106">
        <v>0</v>
      </c>
      <c r="J21" s="107">
        <v>0</v>
      </c>
      <c r="K21" s="22">
        <v>0</v>
      </c>
      <c r="L21" s="70">
        <v>0</v>
      </c>
      <c r="M21" s="22">
        <f t="shared" si="2"/>
        <v>0</v>
      </c>
      <c r="N21" s="19" t="e">
        <f t="shared" si="3"/>
        <v>#DIV/0!</v>
      </c>
      <c r="O21" s="3">
        <f t="shared" si="0"/>
        <v>0</v>
      </c>
      <c r="P21" s="19" t="e">
        <f t="shared" si="4"/>
        <v>#DIV/0!</v>
      </c>
    </row>
    <row r="22" spans="1:18" ht="15.5" x14ac:dyDescent="0.35">
      <c r="A22" s="8">
        <v>13</v>
      </c>
      <c r="B22" s="27">
        <v>242501012</v>
      </c>
      <c r="C22" s="35" t="s">
        <v>40</v>
      </c>
      <c r="D22" s="39" t="s">
        <v>26</v>
      </c>
      <c r="E22" s="40"/>
      <c r="F22" s="32" t="s">
        <v>72</v>
      </c>
      <c r="G22" s="105">
        <v>0</v>
      </c>
      <c r="H22" s="105" t="str">
        <f t="shared" si="1"/>
        <v>60</v>
      </c>
      <c r="I22" s="106">
        <v>0</v>
      </c>
      <c r="J22" s="107">
        <v>0</v>
      </c>
      <c r="K22" s="22">
        <v>0</v>
      </c>
      <c r="L22" s="70">
        <v>0</v>
      </c>
      <c r="M22" s="22">
        <f t="shared" si="2"/>
        <v>0</v>
      </c>
      <c r="N22" s="19" t="e">
        <f t="shared" si="3"/>
        <v>#DIV/0!</v>
      </c>
      <c r="O22" s="3">
        <f t="shared" si="0"/>
        <v>0</v>
      </c>
      <c r="P22" s="19" t="e">
        <f t="shared" si="4"/>
        <v>#DIV/0!</v>
      </c>
    </row>
    <row r="23" spans="1:18" ht="15.5" x14ac:dyDescent="0.35">
      <c r="A23" s="8">
        <v>14</v>
      </c>
      <c r="B23" s="27">
        <v>242501013</v>
      </c>
      <c r="C23" s="35" t="s">
        <v>41</v>
      </c>
      <c r="D23" s="39" t="s">
        <v>26</v>
      </c>
      <c r="E23" s="40"/>
      <c r="F23" s="32" t="s">
        <v>72</v>
      </c>
      <c r="G23" s="105">
        <v>0</v>
      </c>
      <c r="H23" s="105" t="str">
        <f t="shared" si="1"/>
        <v>60</v>
      </c>
      <c r="I23" s="106">
        <v>0</v>
      </c>
      <c r="J23" s="107">
        <v>0</v>
      </c>
      <c r="K23" s="22">
        <v>0</v>
      </c>
      <c r="L23" s="70">
        <v>0</v>
      </c>
      <c r="M23" s="22">
        <f t="shared" si="2"/>
        <v>0</v>
      </c>
      <c r="N23" s="19" t="e">
        <f t="shared" si="3"/>
        <v>#DIV/0!</v>
      </c>
      <c r="O23" s="3">
        <f t="shared" si="0"/>
        <v>0</v>
      </c>
      <c r="P23" s="19" t="e">
        <f t="shared" si="4"/>
        <v>#DIV/0!</v>
      </c>
    </row>
    <row r="24" spans="1:18" ht="15.5" x14ac:dyDescent="0.35">
      <c r="A24" s="8">
        <v>15</v>
      </c>
      <c r="B24" s="27">
        <v>242501014</v>
      </c>
      <c r="C24" s="35" t="s">
        <v>42</v>
      </c>
      <c r="D24" s="39" t="s">
        <v>26</v>
      </c>
      <c r="E24" s="40"/>
      <c r="F24" s="32" t="s">
        <v>72</v>
      </c>
      <c r="G24" s="105">
        <v>0</v>
      </c>
      <c r="H24" s="105" t="str">
        <f t="shared" si="1"/>
        <v>60</v>
      </c>
      <c r="I24" s="106">
        <v>0</v>
      </c>
      <c r="J24" s="107">
        <v>0</v>
      </c>
      <c r="K24" s="22">
        <v>0</v>
      </c>
      <c r="L24" s="70">
        <v>0</v>
      </c>
      <c r="M24" s="22">
        <f t="shared" si="2"/>
        <v>0</v>
      </c>
      <c r="N24" s="19" t="e">
        <f t="shared" si="3"/>
        <v>#DIV/0!</v>
      </c>
      <c r="O24" s="3">
        <f t="shared" si="0"/>
        <v>0</v>
      </c>
      <c r="P24" s="19" t="e">
        <f t="shared" si="4"/>
        <v>#DIV/0!</v>
      </c>
    </row>
    <row r="25" spans="1:18" ht="15.5" x14ac:dyDescent="0.35">
      <c r="A25" s="8">
        <v>16</v>
      </c>
      <c r="B25" s="27">
        <v>242501015</v>
      </c>
      <c r="C25" s="35" t="s">
        <v>43</v>
      </c>
      <c r="D25" s="39" t="s">
        <v>26</v>
      </c>
      <c r="E25" s="40"/>
      <c r="F25" s="32" t="s">
        <v>72</v>
      </c>
      <c r="G25" s="105">
        <v>0</v>
      </c>
      <c r="H25" s="105" t="str">
        <f t="shared" si="1"/>
        <v>60</v>
      </c>
      <c r="I25" s="106">
        <v>0</v>
      </c>
      <c r="J25" s="107">
        <v>0</v>
      </c>
      <c r="K25" s="22">
        <v>0</v>
      </c>
      <c r="L25" s="70">
        <v>0</v>
      </c>
      <c r="M25" s="22">
        <f t="shared" si="2"/>
        <v>0</v>
      </c>
      <c r="N25" s="19" t="e">
        <f t="shared" si="3"/>
        <v>#DIV/0!</v>
      </c>
      <c r="O25" s="3">
        <f t="shared" si="0"/>
        <v>0</v>
      </c>
      <c r="P25" s="19" t="e">
        <f t="shared" si="4"/>
        <v>#DIV/0!</v>
      </c>
    </row>
    <row r="26" spans="1:18" ht="15.5" x14ac:dyDescent="0.35">
      <c r="A26" s="8">
        <v>17</v>
      </c>
      <c r="B26" s="27">
        <v>242501016</v>
      </c>
      <c r="C26" s="35" t="s">
        <v>44</v>
      </c>
      <c r="D26" s="39" t="s">
        <v>26</v>
      </c>
      <c r="E26" s="40"/>
      <c r="F26" s="32" t="s">
        <v>72</v>
      </c>
      <c r="G26" s="105">
        <v>0</v>
      </c>
      <c r="H26" s="105" t="str">
        <f t="shared" si="1"/>
        <v>60</v>
      </c>
      <c r="I26" s="106">
        <v>0</v>
      </c>
      <c r="J26" s="107">
        <v>0</v>
      </c>
      <c r="K26" s="22">
        <v>0</v>
      </c>
      <c r="L26" s="70">
        <v>0</v>
      </c>
      <c r="M26" s="22">
        <f t="shared" si="2"/>
        <v>0</v>
      </c>
      <c r="N26" s="19" t="e">
        <f t="shared" si="3"/>
        <v>#DIV/0!</v>
      </c>
      <c r="O26" s="3">
        <f t="shared" si="0"/>
        <v>0</v>
      </c>
      <c r="P26" s="19" t="e">
        <f t="shared" si="4"/>
        <v>#DIV/0!</v>
      </c>
    </row>
    <row r="27" spans="1:18" ht="15.5" x14ac:dyDescent="0.35">
      <c r="A27" s="8">
        <v>18</v>
      </c>
      <c r="B27" s="27">
        <v>242501017</v>
      </c>
      <c r="C27" s="35" t="s">
        <v>45</v>
      </c>
      <c r="D27" s="39" t="s">
        <v>26</v>
      </c>
      <c r="E27" s="40"/>
      <c r="F27" s="32" t="s">
        <v>72</v>
      </c>
      <c r="G27" s="105">
        <v>0</v>
      </c>
      <c r="H27" s="105" t="str">
        <f t="shared" si="1"/>
        <v>60</v>
      </c>
      <c r="I27" s="106">
        <v>0</v>
      </c>
      <c r="J27" s="107">
        <v>0</v>
      </c>
      <c r="K27" s="22">
        <v>0</v>
      </c>
      <c r="L27" s="70">
        <v>0</v>
      </c>
      <c r="M27" s="22">
        <f t="shared" si="2"/>
        <v>0</v>
      </c>
      <c r="N27" s="19" t="e">
        <f t="shared" si="3"/>
        <v>#DIV/0!</v>
      </c>
      <c r="O27" s="3">
        <f t="shared" si="0"/>
        <v>0</v>
      </c>
      <c r="P27" s="19" t="e">
        <f t="shared" si="4"/>
        <v>#DIV/0!</v>
      </c>
    </row>
    <row r="28" spans="1:18" ht="15.5" x14ac:dyDescent="0.35">
      <c r="A28" s="8">
        <v>19</v>
      </c>
      <c r="B28" s="27">
        <v>242501018</v>
      </c>
      <c r="C28" s="36" t="s">
        <v>46</v>
      </c>
      <c r="D28" s="39"/>
      <c r="E28" s="40" t="s">
        <v>26</v>
      </c>
      <c r="F28" s="32" t="s">
        <v>72</v>
      </c>
      <c r="G28" s="105">
        <v>0</v>
      </c>
      <c r="H28" s="105" t="str">
        <f t="shared" si="1"/>
        <v>60</v>
      </c>
      <c r="I28" s="106">
        <v>0</v>
      </c>
      <c r="J28" s="107">
        <v>0</v>
      </c>
      <c r="K28" s="22">
        <v>0</v>
      </c>
      <c r="L28" s="70">
        <v>0</v>
      </c>
      <c r="M28" s="22">
        <f t="shared" si="2"/>
        <v>0</v>
      </c>
      <c r="N28" s="19" t="e">
        <f t="shared" si="3"/>
        <v>#DIV/0!</v>
      </c>
      <c r="O28" s="3">
        <f t="shared" si="0"/>
        <v>0</v>
      </c>
      <c r="P28" s="19" t="e">
        <f t="shared" si="4"/>
        <v>#DIV/0!</v>
      </c>
    </row>
    <row r="29" spans="1:18" ht="15.5" x14ac:dyDescent="0.35">
      <c r="A29" s="8">
        <v>20</v>
      </c>
      <c r="B29" s="27">
        <v>242501019</v>
      </c>
      <c r="C29" s="35" t="s">
        <v>47</v>
      </c>
      <c r="D29" s="39" t="s">
        <v>26</v>
      </c>
      <c r="E29" s="40"/>
      <c r="F29" s="32" t="s">
        <v>72</v>
      </c>
      <c r="G29" s="105">
        <v>0</v>
      </c>
      <c r="H29" s="105" t="str">
        <f t="shared" si="1"/>
        <v>60</v>
      </c>
      <c r="I29" s="106">
        <v>0</v>
      </c>
      <c r="J29" s="107">
        <v>0</v>
      </c>
      <c r="K29" s="22">
        <v>0</v>
      </c>
      <c r="L29" s="70">
        <v>0</v>
      </c>
      <c r="M29" s="22">
        <f t="shared" si="2"/>
        <v>0</v>
      </c>
      <c r="N29" s="19" t="e">
        <f t="shared" si="3"/>
        <v>#DIV/0!</v>
      </c>
      <c r="O29" s="3">
        <f t="shared" si="0"/>
        <v>0</v>
      </c>
      <c r="P29" s="19" t="e">
        <f t="shared" si="4"/>
        <v>#DIV/0!</v>
      </c>
    </row>
    <row r="30" spans="1:18" ht="15.5" x14ac:dyDescent="0.35">
      <c r="A30" s="8">
        <v>21</v>
      </c>
      <c r="B30" s="27">
        <v>242501020</v>
      </c>
      <c r="C30" s="35" t="s">
        <v>48</v>
      </c>
      <c r="D30" s="39"/>
      <c r="E30" s="40" t="s">
        <v>26</v>
      </c>
      <c r="F30" s="32" t="s">
        <v>72</v>
      </c>
      <c r="G30" s="105">
        <v>0</v>
      </c>
      <c r="H30" s="105" t="str">
        <f t="shared" si="1"/>
        <v>60</v>
      </c>
      <c r="I30" s="106">
        <v>0</v>
      </c>
      <c r="J30" s="107">
        <v>0</v>
      </c>
      <c r="K30" s="22">
        <v>0</v>
      </c>
      <c r="L30" s="70">
        <v>0</v>
      </c>
      <c r="M30" s="22">
        <f t="shared" si="2"/>
        <v>0</v>
      </c>
      <c r="N30" s="19" t="e">
        <f t="shared" si="3"/>
        <v>#DIV/0!</v>
      </c>
      <c r="O30" s="3">
        <f t="shared" si="0"/>
        <v>0</v>
      </c>
      <c r="P30" s="19" t="e">
        <f t="shared" si="4"/>
        <v>#DIV/0!</v>
      </c>
    </row>
    <row r="31" spans="1:18" ht="15.5" x14ac:dyDescent="0.35">
      <c r="A31" s="8">
        <v>22</v>
      </c>
      <c r="B31" s="27">
        <v>242501021</v>
      </c>
      <c r="C31" s="35" t="s">
        <v>49</v>
      </c>
      <c r="D31" s="39"/>
      <c r="E31" s="40" t="s">
        <v>26</v>
      </c>
      <c r="F31" s="32" t="s">
        <v>72</v>
      </c>
      <c r="G31" s="105">
        <v>0</v>
      </c>
      <c r="H31" s="105" t="str">
        <f t="shared" si="1"/>
        <v>60</v>
      </c>
      <c r="I31" s="106">
        <v>0</v>
      </c>
      <c r="J31" s="107">
        <v>0</v>
      </c>
      <c r="K31" s="22">
        <v>0</v>
      </c>
      <c r="L31" s="70">
        <v>0</v>
      </c>
      <c r="M31" s="22">
        <f t="shared" si="2"/>
        <v>0</v>
      </c>
      <c r="N31" s="19" t="e">
        <f t="shared" si="3"/>
        <v>#DIV/0!</v>
      </c>
      <c r="O31" s="3">
        <f t="shared" si="0"/>
        <v>0</v>
      </c>
      <c r="P31" s="19" t="e">
        <f t="shared" si="4"/>
        <v>#DIV/0!</v>
      </c>
    </row>
    <row r="32" spans="1:18" ht="15.5" x14ac:dyDescent="0.35">
      <c r="A32" s="8">
        <v>23</v>
      </c>
      <c r="B32" s="27">
        <v>242501022</v>
      </c>
      <c r="C32" s="35" t="s">
        <v>50</v>
      </c>
      <c r="D32" s="39" t="s">
        <v>26</v>
      </c>
      <c r="E32" s="40"/>
      <c r="F32" s="32" t="s">
        <v>72</v>
      </c>
      <c r="G32" s="105">
        <v>0</v>
      </c>
      <c r="H32" s="105" t="str">
        <f t="shared" si="1"/>
        <v>60</v>
      </c>
      <c r="I32" s="106">
        <v>0</v>
      </c>
      <c r="J32" s="107">
        <v>0</v>
      </c>
      <c r="K32" s="22">
        <v>0</v>
      </c>
      <c r="L32" s="70">
        <v>0</v>
      </c>
      <c r="M32" s="22">
        <f t="shared" si="2"/>
        <v>0</v>
      </c>
      <c r="N32" s="19" t="e">
        <f t="shared" si="3"/>
        <v>#DIV/0!</v>
      </c>
      <c r="O32" s="3">
        <f t="shared" si="0"/>
        <v>0</v>
      </c>
      <c r="P32" s="19" t="e">
        <f t="shared" si="4"/>
        <v>#DIV/0!</v>
      </c>
    </row>
    <row r="33" spans="1:16" ht="15.5" x14ac:dyDescent="0.35">
      <c r="A33" s="8">
        <v>24</v>
      </c>
      <c r="B33" s="27">
        <v>242501023</v>
      </c>
      <c r="C33" s="35" t="s">
        <v>51</v>
      </c>
      <c r="D33" s="39"/>
      <c r="E33" s="40" t="s">
        <v>26</v>
      </c>
      <c r="F33" s="32" t="s">
        <v>72</v>
      </c>
      <c r="G33" s="105">
        <v>0</v>
      </c>
      <c r="H33" s="105" t="str">
        <f t="shared" si="1"/>
        <v>60</v>
      </c>
      <c r="I33" s="106">
        <v>0</v>
      </c>
      <c r="J33" s="107">
        <v>0</v>
      </c>
      <c r="K33" s="22">
        <v>0</v>
      </c>
      <c r="L33" s="70">
        <v>0</v>
      </c>
      <c r="M33" s="22">
        <f t="shared" si="2"/>
        <v>0</v>
      </c>
      <c r="N33" s="19" t="e">
        <f t="shared" si="3"/>
        <v>#DIV/0!</v>
      </c>
      <c r="O33" s="3">
        <f t="shared" si="0"/>
        <v>0</v>
      </c>
      <c r="P33" s="19" t="e">
        <f t="shared" si="4"/>
        <v>#DIV/0!</v>
      </c>
    </row>
    <row r="34" spans="1:16" ht="15.5" x14ac:dyDescent="0.35">
      <c r="A34" s="8">
        <v>25</v>
      </c>
      <c r="B34" s="27">
        <v>242501024</v>
      </c>
      <c r="C34" s="35" t="s">
        <v>52</v>
      </c>
      <c r="D34" s="39"/>
      <c r="E34" s="40" t="s">
        <v>26</v>
      </c>
      <c r="F34" s="32" t="s">
        <v>72</v>
      </c>
      <c r="G34" s="105">
        <v>0</v>
      </c>
      <c r="H34" s="105" t="str">
        <f t="shared" si="1"/>
        <v>60</v>
      </c>
      <c r="I34" s="106">
        <v>0</v>
      </c>
      <c r="J34" s="107">
        <v>0</v>
      </c>
      <c r="K34" s="22">
        <v>0</v>
      </c>
      <c r="L34" s="70">
        <v>0</v>
      </c>
      <c r="M34" s="22">
        <f t="shared" si="2"/>
        <v>0</v>
      </c>
      <c r="N34" s="19" t="e">
        <f t="shared" si="3"/>
        <v>#DIV/0!</v>
      </c>
      <c r="O34" s="3">
        <f t="shared" si="0"/>
        <v>0</v>
      </c>
      <c r="P34" s="19" t="e">
        <f t="shared" si="4"/>
        <v>#DIV/0!</v>
      </c>
    </row>
    <row r="35" spans="1:16" ht="15.5" x14ac:dyDescent="0.35">
      <c r="A35" s="8">
        <v>26</v>
      </c>
      <c r="B35" s="27">
        <v>242501026</v>
      </c>
      <c r="C35" s="35" t="s">
        <v>53</v>
      </c>
      <c r="D35" s="39" t="s">
        <v>26</v>
      </c>
      <c r="E35" s="40"/>
      <c r="F35" s="32" t="s">
        <v>72</v>
      </c>
      <c r="G35" s="105">
        <v>0</v>
      </c>
      <c r="H35" s="105" t="str">
        <f t="shared" si="1"/>
        <v>60</v>
      </c>
      <c r="I35" s="106">
        <v>0</v>
      </c>
      <c r="J35" s="107">
        <v>0</v>
      </c>
      <c r="K35" s="22">
        <v>0</v>
      </c>
      <c r="L35" s="70">
        <v>0</v>
      </c>
      <c r="M35" s="22">
        <f t="shared" si="2"/>
        <v>0</v>
      </c>
      <c r="N35" s="19" t="e">
        <f t="shared" si="3"/>
        <v>#DIV/0!</v>
      </c>
      <c r="O35" s="3">
        <f t="shared" si="0"/>
        <v>0</v>
      </c>
      <c r="P35" s="19" t="e">
        <f t="shared" si="4"/>
        <v>#DIV/0!</v>
      </c>
    </row>
    <row r="36" spans="1:16" ht="15.5" x14ac:dyDescent="0.35">
      <c r="A36" s="8">
        <v>27</v>
      </c>
      <c r="B36" s="27">
        <v>242501027</v>
      </c>
      <c r="C36" s="35" t="s">
        <v>54</v>
      </c>
      <c r="D36" s="39"/>
      <c r="E36" s="40" t="s">
        <v>26</v>
      </c>
      <c r="F36" s="32" t="s">
        <v>72</v>
      </c>
      <c r="G36" s="105">
        <v>0</v>
      </c>
      <c r="H36" s="105" t="str">
        <f t="shared" si="1"/>
        <v>60</v>
      </c>
      <c r="I36" s="106">
        <v>0</v>
      </c>
      <c r="J36" s="107">
        <v>0</v>
      </c>
      <c r="K36" s="22">
        <v>0</v>
      </c>
      <c r="L36" s="70">
        <v>0</v>
      </c>
      <c r="M36" s="22">
        <f t="shared" si="2"/>
        <v>0</v>
      </c>
      <c r="N36" s="19" t="e">
        <f t="shared" si="3"/>
        <v>#DIV/0!</v>
      </c>
      <c r="O36" s="3">
        <f t="shared" si="0"/>
        <v>0</v>
      </c>
      <c r="P36" s="19" t="e">
        <f t="shared" si="4"/>
        <v>#DIV/0!</v>
      </c>
    </row>
    <row r="37" spans="1:16" ht="15.5" x14ac:dyDescent="0.35">
      <c r="A37" s="8">
        <v>28</v>
      </c>
      <c r="B37" s="27">
        <v>242501028</v>
      </c>
      <c r="C37" s="35" t="s">
        <v>55</v>
      </c>
      <c r="D37" s="39" t="s">
        <v>26</v>
      </c>
      <c r="E37" s="40"/>
      <c r="F37" s="32" t="s">
        <v>72</v>
      </c>
      <c r="G37" s="105">
        <v>0</v>
      </c>
      <c r="H37" s="105" t="str">
        <f t="shared" si="1"/>
        <v>60</v>
      </c>
      <c r="I37" s="106">
        <v>0</v>
      </c>
      <c r="J37" s="107">
        <v>0</v>
      </c>
      <c r="K37" s="22">
        <v>0</v>
      </c>
      <c r="L37" s="70">
        <v>0</v>
      </c>
      <c r="M37" s="22">
        <f t="shared" si="2"/>
        <v>0</v>
      </c>
      <c r="N37" s="19" t="e">
        <f t="shared" si="3"/>
        <v>#DIV/0!</v>
      </c>
      <c r="O37" s="3">
        <f t="shared" si="0"/>
        <v>0</v>
      </c>
      <c r="P37" s="19" t="e">
        <f t="shared" si="4"/>
        <v>#DIV/0!</v>
      </c>
    </row>
    <row r="38" spans="1:16" ht="15.5" x14ac:dyDescent="0.35">
      <c r="A38" s="8">
        <v>29</v>
      </c>
      <c r="B38" s="27">
        <v>242501030</v>
      </c>
      <c r="C38" s="36" t="s">
        <v>56</v>
      </c>
      <c r="D38" s="39" t="s">
        <v>26</v>
      </c>
      <c r="E38" s="40"/>
      <c r="F38" s="32" t="s">
        <v>72</v>
      </c>
      <c r="G38" s="105">
        <v>0</v>
      </c>
      <c r="H38" s="105" t="str">
        <f t="shared" si="1"/>
        <v>60</v>
      </c>
      <c r="I38" s="106">
        <v>0</v>
      </c>
      <c r="J38" s="107">
        <v>0</v>
      </c>
      <c r="K38" s="22">
        <v>0</v>
      </c>
      <c r="L38" s="70">
        <v>0</v>
      </c>
      <c r="M38" s="22">
        <f t="shared" si="2"/>
        <v>0</v>
      </c>
      <c r="N38" s="19" t="e">
        <f t="shared" si="3"/>
        <v>#DIV/0!</v>
      </c>
      <c r="O38" s="3">
        <f t="shared" si="0"/>
        <v>0</v>
      </c>
      <c r="P38" s="19" t="e">
        <f t="shared" si="4"/>
        <v>#DIV/0!</v>
      </c>
    </row>
    <row r="39" spans="1:16" ht="15.5" x14ac:dyDescent="0.35">
      <c r="A39" s="8">
        <v>30</v>
      </c>
      <c r="B39" s="27">
        <v>242501031</v>
      </c>
      <c r="C39" s="35" t="s">
        <v>57</v>
      </c>
      <c r="D39" s="39" t="s">
        <v>26</v>
      </c>
      <c r="E39" s="40"/>
      <c r="F39" s="32" t="s">
        <v>72</v>
      </c>
      <c r="G39" s="105">
        <v>0</v>
      </c>
      <c r="H39" s="105" t="str">
        <f t="shared" si="1"/>
        <v>60</v>
      </c>
      <c r="I39" s="106">
        <v>0</v>
      </c>
      <c r="J39" s="107">
        <v>0</v>
      </c>
      <c r="K39" s="22">
        <v>0</v>
      </c>
      <c r="L39" s="70">
        <v>0</v>
      </c>
      <c r="M39" s="22">
        <f t="shared" si="2"/>
        <v>0</v>
      </c>
      <c r="N39" s="19" t="e">
        <f t="shared" si="3"/>
        <v>#DIV/0!</v>
      </c>
      <c r="O39" s="3">
        <f t="shared" si="0"/>
        <v>0</v>
      </c>
      <c r="P39" s="19" t="e">
        <f t="shared" si="4"/>
        <v>#DIV/0!</v>
      </c>
    </row>
    <row r="40" spans="1:16" ht="15.5" x14ac:dyDescent="0.35">
      <c r="A40" s="8">
        <v>31</v>
      </c>
      <c r="B40" s="27">
        <v>242501032</v>
      </c>
      <c r="C40" s="35" t="s">
        <v>58</v>
      </c>
      <c r="D40" s="39"/>
      <c r="E40" s="40" t="s">
        <v>26</v>
      </c>
      <c r="F40" s="32" t="s">
        <v>72</v>
      </c>
      <c r="G40" s="105">
        <v>0</v>
      </c>
      <c r="H40" s="105" t="str">
        <f t="shared" si="1"/>
        <v>60</v>
      </c>
      <c r="I40" s="106">
        <v>0</v>
      </c>
      <c r="J40" s="107">
        <v>0</v>
      </c>
      <c r="K40" s="22">
        <v>0</v>
      </c>
      <c r="L40" s="70">
        <v>0</v>
      </c>
      <c r="M40" s="22">
        <f t="shared" si="2"/>
        <v>0</v>
      </c>
      <c r="N40" s="19" t="e">
        <f t="shared" si="3"/>
        <v>#DIV/0!</v>
      </c>
      <c r="O40" s="3">
        <f t="shared" si="0"/>
        <v>0</v>
      </c>
      <c r="P40" s="19" t="e">
        <f t="shared" si="4"/>
        <v>#DIV/0!</v>
      </c>
    </row>
    <row r="41" spans="1:16" ht="15.5" x14ac:dyDescent="0.35">
      <c r="A41" s="8">
        <v>32</v>
      </c>
      <c r="B41" s="27">
        <v>242501033</v>
      </c>
      <c r="C41" s="35" t="s">
        <v>59</v>
      </c>
      <c r="D41" s="39"/>
      <c r="E41" s="40" t="s">
        <v>26</v>
      </c>
      <c r="F41" s="32" t="s">
        <v>72</v>
      </c>
      <c r="G41" s="105">
        <v>0</v>
      </c>
      <c r="H41" s="105" t="str">
        <f t="shared" si="1"/>
        <v>60</v>
      </c>
      <c r="I41" s="106">
        <v>0</v>
      </c>
      <c r="J41" s="107">
        <v>0</v>
      </c>
      <c r="K41" s="22">
        <v>0</v>
      </c>
      <c r="L41" s="70">
        <v>0</v>
      </c>
      <c r="M41" s="22">
        <f t="shared" si="2"/>
        <v>0</v>
      </c>
      <c r="N41" s="19" t="e">
        <f t="shared" si="3"/>
        <v>#DIV/0!</v>
      </c>
      <c r="O41" s="3">
        <f t="shared" si="0"/>
        <v>0</v>
      </c>
      <c r="P41" s="19" t="e">
        <f t="shared" si="4"/>
        <v>#DIV/0!</v>
      </c>
    </row>
    <row r="42" spans="1:16" ht="15.5" x14ac:dyDescent="0.35">
      <c r="A42" s="8">
        <v>33</v>
      </c>
      <c r="B42" s="27">
        <v>242501034</v>
      </c>
      <c r="C42" s="35" t="s">
        <v>60</v>
      </c>
      <c r="D42" s="39"/>
      <c r="E42" s="40" t="s">
        <v>26</v>
      </c>
      <c r="F42" s="32" t="s">
        <v>72</v>
      </c>
      <c r="G42" s="105">
        <v>0</v>
      </c>
      <c r="H42" s="105" t="str">
        <f t="shared" si="1"/>
        <v>60</v>
      </c>
      <c r="I42" s="106">
        <v>0</v>
      </c>
      <c r="J42" s="107">
        <v>0</v>
      </c>
      <c r="K42" s="22">
        <v>0</v>
      </c>
      <c r="L42" s="70">
        <v>0</v>
      </c>
      <c r="M42" s="22">
        <f t="shared" si="2"/>
        <v>0</v>
      </c>
      <c r="N42" s="19" t="e">
        <f t="shared" si="3"/>
        <v>#DIV/0!</v>
      </c>
      <c r="O42" s="3">
        <f t="shared" si="0"/>
        <v>0</v>
      </c>
      <c r="P42" s="19" t="e">
        <f t="shared" si="4"/>
        <v>#DIV/0!</v>
      </c>
    </row>
    <row r="43" spans="1:16" ht="15.5" x14ac:dyDescent="0.35">
      <c r="A43" s="8">
        <v>34</v>
      </c>
      <c r="B43" s="27">
        <v>242501035</v>
      </c>
      <c r="C43" s="35" t="s">
        <v>61</v>
      </c>
      <c r="D43" s="39"/>
      <c r="E43" s="40" t="s">
        <v>26</v>
      </c>
      <c r="F43" s="32" t="s">
        <v>72</v>
      </c>
      <c r="G43" s="105">
        <v>0</v>
      </c>
      <c r="H43" s="105" t="str">
        <f t="shared" si="1"/>
        <v>60</v>
      </c>
      <c r="I43" s="106">
        <v>0</v>
      </c>
      <c r="J43" s="107">
        <v>0</v>
      </c>
      <c r="K43" s="22">
        <v>0</v>
      </c>
      <c r="L43" s="70">
        <v>0</v>
      </c>
      <c r="M43" s="22">
        <f t="shared" si="2"/>
        <v>0</v>
      </c>
      <c r="N43" s="19" t="e">
        <f t="shared" si="3"/>
        <v>#DIV/0!</v>
      </c>
      <c r="O43" s="3">
        <f t="shared" si="0"/>
        <v>0</v>
      </c>
      <c r="P43" s="19" t="e">
        <f t="shared" si="4"/>
        <v>#DIV/0!</v>
      </c>
    </row>
    <row r="44" spans="1:16" ht="15.5" x14ac:dyDescent="0.35">
      <c r="A44" s="8">
        <v>35</v>
      </c>
      <c r="B44" s="27">
        <v>242501036</v>
      </c>
      <c r="C44" s="35" t="s">
        <v>62</v>
      </c>
      <c r="D44" s="39" t="s">
        <v>26</v>
      </c>
      <c r="E44" s="40"/>
      <c r="F44" s="32" t="s">
        <v>72</v>
      </c>
      <c r="G44" s="105">
        <v>0</v>
      </c>
      <c r="H44" s="105" t="str">
        <f t="shared" si="1"/>
        <v>60</v>
      </c>
      <c r="I44" s="106">
        <v>0</v>
      </c>
      <c r="J44" s="107">
        <v>0</v>
      </c>
      <c r="K44" s="22">
        <v>0</v>
      </c>
      <c r="L44" s="70">
        <v>0</v>
      </c>
      <c r="M44" s="22">
        <f t="shared" si="2"/>
        <v>0</v>
      </c>
      <c r="N44" s="19" t="e">
        <f t="shared" si="3"/>
        <v>#DIV/0!</v>
      </c>
      <c r="O44" s="3">
        <f t="shared" si="0"/>
        <v>0</v>
      </c>
      <c r="P44" s="19" t="e">
        <f t="shared" si="4"/>
        <v>#DIV/0!</v>
      </c>
    </row>
    <row r="45" spans="1:16" ht="15.5" x14ac:dyDescent="0.35">
      <c r="A45" s="8">
        <v>36</v>
      </c>
      <c r="B45" s="27">
        <v>242501038</v>
      </c>
      <c r="C45" s="35" t="s">
        <v>63</v>
      </c>
      <c r="D45" s="39" t="s">
        <v>26</v>
      </c>
      <c r="E45" s="40"/>
      <c r="F45" s="32" t="s">
        <v>72</v>
      </c>
      <c r="G45" s="105">
        <v>0</v>
      </c>
      <c r="H45" s="105" t="str">
        <f t="shared" si="1"/>
        <v>60</v>
      </c>
      <c r="I45" s="106">
        <v>0</v>
      </c>
      <c r="J45" s="107">
        <v>0</v>
      </c>
      <c r="K45" s="22">
        <v>0</v>
      </c>
      <c r="L45" s="70">
        <v>0</v>
      </c>
      <c r="M45" s="22">
        <f t="shared" si="2"/>
        <v>0</v>
      </c>
      <c r="N45" s="19" t="e">
        <f t="shared" si="3"/>
        <v>#DIV/0!</v>
      </c>
      <c r="O45" s="3">
        <f t="shared" si="0"/>
        <v>0</v>
      </c>
      <c r="P45" s="19" t="e">
        <f t="shared" si="4"/>
        <v>#DIV/0!</v>
      </c>
    </row>
    <row r="46" spans="1:16" ht="15.5" x14ac:dyDescent="0.35">
      <c r="A46" s="8">
        <v>37</v>
      </c>
      <c r="B46" s="27">
        <v>242501039</v>
      </c>
      <c r="C46" s="35" t="s">
        <v>64</v>
      </c>
      <c r="D46" s="39" t="s">
        <v>26</v>
      </c>
      <c r="E46" s="40"/>
      <c r="F46" s="32" t="s">
        <v>72</v>
      </c>
      <c r="G46" s="105">
        <v>0</v>
      </c>
      <c r="H46" s="105" t="str">
        <f t="shared" si="1"/>
        <v>60</v>
      </c>
      <c r="I46" s="106">
        <v>0</v>
      </c>
      <c r="J46" s="107">
        <v>0</v>
      </c>
      <c r="K46" s="22">
        <v>0</v>
      </c>
      <c r="L46" s="70">
        <v>0</v>
      </c>
      <c r="M46" s="22">
        <f t="shared" si="2"/>
        <v>0</v>
      </c>
      <c r="N46" s="19" t="e">
        <f t="shared" si="3"/>
        <v>#DIV/0!</v>
      </c>
      <c r="O46" s="3">
        <f t="shared" si="0"/>
        <v>0</v>
      </c>
      <c r="P46" s="19" t="e">
        <f t="shared" si="4"/>
        <v>#DIV/0!</v>
      </c>
    </row>
    <row r="47" spans="1:16" ht="15.5" x14ac:dyDescent="0.35">
      <c r="A47" s="8">
        <v>38</v>
      </c>
      <c r="B47" s="27">
        <v>242501040</v>
      </c>
      <c r="C47" s="35" t="s">
        <v>65</v>
      </c>
      <c r="D47" s="39"/>
      <c r="E47" s="40" t="s">
        <v>26</v>
      </c>
      <c r="F47" s="32" t="s">
        <v>72</v>
      </c>
      <c r="G47" s="105">
        <v>0</v>
      </c>
      <c r="H47" s="105" t="str">
        <f t="shared" si="1"/>
        <v>60</v>
      </c>
      <c r="I47" s="106">
        <v>0</v>
      </c>
      <c r="J47" s="107">
        <v>0</v>
      </c>
      <c r="K47" s="22">
        <v>0</v>
      </c>
      <c r="L47" s="70">
        <v>0</v>
      </c>
      <c r="M47" s="22">
        <f t="shared" si="2"/>
        <v>0</v>
      </c>
      <c r="N47" s="19" t="e">
        <f t="shared" si="3"/>
        <v>#DIV/0!</v>
      </c>
      <c r="O47" s="3">
        <f t="shared" si="0"/>
        <v>0</v>
      </c>
      <c r="P47" s="19" t="e">
        <f t="shared" si="4"/>
        <v>#DIV/0!</v>
      </c>
    </row>
    <row r="48" spans="1:16" ht="15.5" x14ac:dyDescent="0.35">
      <c r="A48" s="8">
        <v>39</v>
      </c>
      <c r="B48" s="27">
        <v>242501041</v>
      </c>
      <c r="C48" s="35" t="s">
        <v>66</v>
      </c>
      <c r="D48" s="39"/>
      <c r="E48" s="40" t="s">
        <v>26</v>
      </c>
      <c r="F48" s="32" t="s">
        <v>72</v>
      </c>
      <c r="G48" s="105">
        <v>0</v>
      </c>
      <c r="H48" s="105" t="str">
        <f t="shared" si="1"/>
        <v>60</v>
      </c>
      <c r="I48" s="106">
        <v>0</v>
      </c>
      <c r="J48" s="107">
        <v>0</v>
      </c>
      <c r="K48" s="22">
        <v>0</v>
      </c>
      <c r="L48" s="70">
        <v>0</v>
      </c>
      <c r="M48" s="22">
        <f t="shared" si="2"/>
        <v>0</v>
      </c>
      <c r="N48" s="19" t="e">
        <f t="shared" si="3"/>
        <v>#DIV/0!</v>
      </c>
      <c r="O48" s="3">
        <f t="shared" si="0"/>
        <v>0</v>
      </c>
      <c r="P48" s="19" t="e">
        <f t="shared" si="4"/>
        <v>#DIV/0!</v>
      </c>
    </row>
    <row r="49" spans="1:16" ht="15.5" x14ac:dyDescent="0.35">
      <c r="A49" s="8">
        <v>40</v>
      </c>
      <c r="B49" s="27">
        <v>242501042</v>
      </c>
      <c r="C49" s="35" t="s">
        <v>67</v>
      </c>
      <c r="D49" s="39"/>
      <c r="E49" s="40" t="s">
        <v>26</v>
      </c>
      <c r="F49" s="32" t="s">
        <v>72</v>
      </c>
      <c r="G49" s="105">
        <v>0</v>
      </c>
      <c r="H49" s="105" t="str">
        <f t="shared" si="1"/>
        <v>60</v>
      </c>
      <c r="I49" s="106">
        <v>0</v>
      </c>
      <c r="J49" s="107">
        <v>0</v>
      </c>
      <c r="K49" s="22">
        <v>0</v>
      </c>
      <c r="L49" s="70">
        <v>0</v>
      </c>
      <c r="M49" s="22">
        <f t="shared" si="2"/>
        <v>0</v>
      </c>
      <c r="N49" s="19" t="e">
        <f t="shared" si="3"/>
        <v>#DIV/0!</v>
      </c>
      <c r="O49" s="3">
        <f t="shared" si="0"/>
        <v>0</v>
      </c>
      <c r="P49" s="19" t="e">
        <f t="shared" si="4"/>
        <v>#DIV/0!</v>
      </c>
    </row>
    <row r="50" spans="1:16" ht="15.5" x14ac:dyDescent="0.35">
      <c r="A50" s="8">
        <v>41</v>
      </c>
      <c r="B50" s="27">
        <v>242501043</v>
      </c>
      <c r="C50" s="35" t="s">
        <v>68</v>
      </c>
      <c r="D50" s="39"/>
      <c r="E50" s="40" t="s">
        <v>26</v>
      </c>
      <c r="F50" s="32" t="s">
        <v>72</v>
      </c>
      <c r="G50" s="105">
        <v>0</v>
      </c>
      <c r="H50" s="105" t="str">
        <f t="shared" si="1"/>
        <v>60</v>
      </c>
      <c r="I50" s="106">
        <v>0</v>
      </c>
      <c r="J50" s="107">
        <v>0</v>
      </c>
      <c r="K50" s="22">
        <v>0</v>
      </c>
      <c r="L50" s="70">
        <v>0</v>
      </c>
      <c r="M50" s="22">
        <f t="shared" si="2"/>
        <v>0</v>
      </c>
      <c r="N50" s="19" t="e">
        <f t="shared" si="3"/>
        <v>#DIV/0!</v>
      </c>
      <c r="O50" s="3">
        <f t="shared" si="0"/>
        <v>0</v>
      </c>
      <c r="P50" s="19" t="e">
        <f t="shared" si="4"/>
        <v>#DIV/0!</v>
      </c>
    </row>
    <row r="51" spans="1:16" ht="15.5" x14ac:dyDescent="0.35">
      <c r="A51" s="8">
        <v>42</v>
      </c>
      <c r="B51" s="27">
        <v>242501044</v>
      </c>
      <c r="C51" s="35" t="s">
        <v>69</v>
      </c>
      <c r="D51" s="39" t="s">
        <v>26</v>
      </c>
      <c r="E51" s="40"/>
      <c r="F51" s="32" t="s">
        <v>72</v>
      </c>
      <c r="G51" s="105">
        <v>0</v>
      </c>
      <c r="H51" s="105" t="str">
        <f t="shared" si="1"/>
        <v>60</v>
      </c>
      <c r="I51" s="106">
        <v>0</v>
      </c>
      <c r="J51" s="107">
        <v>0</v>
      </c>
      <c r="K51" s="22">
        <v>0</v>
      </c>
      <c r="L51" s="70">
        <v>0</v>
      </c>
      <c r="M51" s="22">
        <f t="shared" si="2"/>
        <v>0</v>
      </c>
      <c r="N51" s="19" t="e">
        <f t="shared" si="3"/>
        <v>#DIV/0!</v>
      </c>
      <c r="O51" s="3">
        <f t="shared" si="0"/>
        <v>0</v>
      </c>
      <c r="P51" s="19" t="e">
        <f t="shared" si="4"/>
        <v>#DIV/0!</v>
      </c>
    </row>
    <row r="52" spans="1:16" ht="15.5" x14ac:dyDescent="0.35">
      <c r="A52" s="8">
        <v>43</v>
      </c>
      <c r="B52" s="27">
        <v>242501045</v>
      </c>
      <c r="C52" s="35" t="s">
        <v>70</v>
      </c>
      <c r="D52" s="39"/>
      <c r="E52" s="40" t="s">
        <v>26</v>
      </c>
      <c r="F52" s="32" t="s">
        <v>72</v>
      </c>
      <c r="G52" s="105">
        <v>0</v>
      </c>
      <c r="H52" s="105" t="str">
        <f t="shared" si="1"/>
        <v>60</v>
      </c>
      <c r="I52" s="106">
        <v>0</v>
      </c>
      <c r="J52" s="107">
        <v>0</v>
      </c>
      <c r="K52" s="22">
        <v>0</v>
      </c>
      <c r="L52" s="70">
        <v>0</v>
      </c>
      <c r="M52" s="22">
        <f t="shared" si="2"/>
        <v>0</v>
      </c>
      <c r="N52" s="19" t="e">
        <f t="shared" si="3"/>
        <v>#DIV/0!</v>
      </c>
      <c r="O52" s="3">
        <f t="shared" si="0"/>
        <v>0</v>
      </c>
      <c r="P52" s="19" t="e">
        <f t="shared" si="4"/>
        <v>#DIV/0!</v>
      </c>
    </row>
    <row r="53" spans="1:16" ht="16" thickBot="1" x14ac:dyDescent="0.4">
      <c r="A53" s="29">
        <v>44</v>
      </c>
      <c r="B53" s="30">
        <v>242501046</v>
      </c>
      <c r="C53" s="48" t="s">
        <v>71</v>
      </c>
      <c r="D53" s="41"/>
      <c r="E53" s="42" t="s">
        <v>26</v>
      </c>
      <c r="F53" s="33" t="s">
        <v>72</v>
      </c>
      <c r="G53" s="105">
        <v>0</v>
      </c>
      <c r="H53" s="105" t="str">
        <f t="shared" si="1"/>
        <v>60</v>
      </c>
      <c r="I53" s="106">
        <v>0</v>
      </c>
      <c r="J53" s="107">
        <v>0</v>
      </c>
      <c r="K53" s="22">
        <v>0</v>
      </c>
      <c r="L53" s="70">
        <v>0</v>
      </c>
      <c r="M53" s="22">
        <f t="shared" si="2"/>
        <v>0</v>
      </c>
      <c r="N53" s="19" t="e">
        <f t="shared" si="3"/>
        <v>#DIV/0!</v>
      </c>
      <c r="O53" s="3">
        <f t="shared" si="0"/>
        <v>0</v>
      </c>
      <c r="P53" s="19" t="e">
        <f t="shared" si="4"/>
        <v>#DIV/0!</v>
      </c>
    </row>
    <row r="54" spans="1:16" x14ac:dyDescent="0.35">
      <c r="A54" s="43"/>
      <c r="B54" s="44"/>
      <c r="C54" s="44"/>
      <c r="D54" s="323" t="s">
        <v>5</v>
      </c>
      <c r="E54" s="324"/>
      <c r="F54" s="325"/>
      <c r="G54" s="10">
        <f t="shared" ref="G54:P54" si="5">AVERAGE(G10:G53)</f>
        <v>0</v>
      </c>
      <c r="H54" s="10" t="e">
        <f t="shared" si="5"/>
        <v>#DIV/0!</v>
      </c>
      <c r="I54" s="10">
        <f t="shared" si="5"/>
        <v>0</v>
      </c>
      <c r="J54" s="10">
        <f t="shared" si="5"/>
        <v>0</v>
      </c>
      <c r="K54" s="10">
        <f t="shared" si="5"/>
        <v>0</v>
      </c>
      <c r="L54" s="10">
        <f t="shared" si="5"/>
        <v>0</v>
      </c>
      <c r="M54" s="10">
        <f t="shared" si="5"/>
        <v>0</v>
      </c>
      <c r="N54" s="10" t="e">
        <f t="shared" si="5"/>
        <v>#DIV/0!</v>
      </c>
      <c r="O54" s="10">
        <f t="shared" si="5"/>
        <v>0</v>
      </c>
      <c r="P54" s="10" t="e">
        <f t="shared" si="5"/>
        <v>#DIV/0!</v>
      </c>
    </row>
    <row r="55" spans="1:16" x14ac:dyDescent="0.35">
      <c r="A55" s="43"/>
      <c r="B55" s="44"/>
      <c r="C55" s="44"/>
      <c r="D55" s="326" t="s">
        <v>6</v>
      </c>
      <c r="E55" s="327"/>
      <c r="F55" s="328"/>
      <c r="G55" s="10">
        <f t="shared" ref="G55:P55" si="6">MAX(G10:G53)</f>
        <v>0</v>
      </c>
      <c r="H55" s="10">
        <f t="shared" si="6"/>
        <v>0</v>
      </c>
      <c r="I55" s="10">
        <f t="shared" si="6"/>
        <v>0</v>
      </c>
      <c r="J55" s="10">
        <f t="shared" si="6"/>
        <v>0</v>
      </c>
      <c r="K55" s="10">
        <f t="shared" si="6"/>
        <v>0</v>
      </c>
      <c r="L55" s="10">
        <f t="shared" si="6"/>
        <v>0</v>
      </c>
      <c r="M55" s="10">
        <f t="shared" si="6"/>
        <v>0</v>
      </c>
      <c r="N55" s="10" t="e">
        <f t="shared" si="6"/>
        <v>#DIV/0!</v>
      </c>
      <c r="O55" s="10">
        <f t="shared" si="6"/>
        <v>0</v>
      </c>
      <c r="P55" s="10" t="e">
        <f t="shared" si="6"/>
        <v>#DIV/0!</v>
      </c>
    </row>
    <row r="56" spans="1:16" s="13" customFormat="1" x14ac:dyDescent="0.35">
      <c r="A56" s="45"/>
      <c r="B56" s="46"/>
      <c r="C56" s="46"/>
      <c r="D56" s="329" t="s">
        <v>7</v>
      </c>
      <c r="E56" s="330"/>
      <c r="F56" s="331"/>
      <c r="G56" s="12">
        <f t="shared" ref="G56:P56" si="7">MIN(G10:G53)</f>
        <v>0</v>
      </c>
      <c r="H56" s="12">
        <f t="shared" si="7"/>
        <v>0</v>
      </c>
      <c r="I56" s="12">
        <f t="shared" si="7"/>
        <v>0</v>
      </c>
      <c r="J56" s="12">
        <f t="shared" si="7"/>
        <v>0</v>
      </c>
      <c r="K56" s="12">
        <f t="shared" si="7"/>
        <v>0</v>
      </c>
      <c r="L56" s="12">
        <f t="shared" si="7"/>
        <v>0</v>
      </c>
      <c r="M56" s="12">
        <f t="shared" si="7"/>
        <v>0</v>
      </c>
      <c r="N56" s="12" t="e">
        <f t="shared" si="7"/>
        <v>#DIV/0!</v>
      </c>
      <c r="O56" s="12">
        <f t="shared" si="7"/>
        <v>0</v>
      </c>
      <c r="P56" s="12" t="e">
        <f t="shared" si="7"/>
        <v>#DIV/0!</v>
      </c>
    </row>
    <row r="57" spans="1:16" x14ac:dyDescent="0.35">
      <c r="A57" s="43"/>
      <c r="B57" s="44"/>
      <c r="C57" s="44"/>
      <c r="D57" s="326" t="s">
        <v>8</v>
      </c>
      <c r="E57" s="327"/>
      <c r="F57" s="328"/>
      <c r="G57" s="10">
        <f t="shared" ref="G57:P57" si="8">STDEV(G10:G53)</f>
        <v>0</v>
      </c>
      <c r="H57" s="10" t="e">
        <f t="shared" si="8"/>
        <v>#DIV/0!</v>
      </c>
      <c r="I57" s="10">
        <f t="shared" si="8"/>
        <v>0</v>
      </c>
      <c r="J57" s="10">
        <f t="shared" si="8"/>
        <v>0</v>
      </c>
      <c r="K57" s="10">
        <f t="shared" si="8"/>
        <v>0</v>
      </c>
      <c r="L57" s="10">
        <f t="shared" si="8"/>
        <v>0</v>
      </c>
      <c r="M57" s="10">
        <f t="shared" si="8"/>
        <v>0</v>
      </c>
      <c r="N57" s="10" t="e">
        <f t="shared" si="8"/>
        <v>#DIV/0!</v>
      </c>
      <c r="O57" s="10">
        <f t="shared" si="8"/>
        <v>0</v>
      </c>
      <c r="P57" s="10" t="e">
        <f t="shared" si="8"/>
        <v>#DIV/0!</v>
      </c>
    </row>
    <row r="58" spans="1:16" x14ac:dyDescent="0.35">
      <c r="A58" s="43"/>
      <c r="B58" s="47"/>
      <c r="C58" s="47"/>
      <c r="D58" s="332" t="s">
        <v>9</v>
      </c>
      <c r="E58" s="333"/>
      <c r="F58" s="334"/>
      <c r="G58" s="14">
        <v>78</v>
      </c>
      <c r="H58" s="14">
        <v>78</v>
      </c>
      <c r="I58" s="14">
        <v>78</v>
      </c>
      <c r="J58" s="14">
        <v>78</v>
      </c>
      <c r="K58" s="14">
        <v>78</v>
      </c>
      <c r="L58" s="14">
        <v>78</v>
      </c>
      <c r="M58" s="14">
        <v>78</v>
      </c>
      <c r="N58" s="14">
        <v>78</v>
      </c>
      <c r="O58" s="14">
        <v>78</v>
      </c>
      <c r="P58" s="14">
        <v>78</v>
      </c>
    </row>
    <row r="59" spans="1:16" ht="15" thickBot="1" x14ac:dyDescent="0.4">
      <c r="A59" s="43"/>
      <c r="B59" s="47"/>
      <c r="C59" s="47"/>
      <c r="D59" s="320" t="s">
        <v>10</v>
      </c>
      <c r="E59" s="321"/>
      <c r="F59" s="322"/>
      <c r="G59" s="16">
        <v>86</v>
      </c>
      <c r="H59" s="16">
        <v>86</v>
      </c>
      <c r="I59" s="16">
        <v>86</v>
      </c>
      <c r="J59" s="16">
        <v>86</v>
      </c>
      <c r="K59" s="16">
        <v>86</v>
      </c>
      <c r="L59" s="16">
        <v>86</v>
      </c>
      <c r="M59" s="16">
        <v>86</v>
      </c>
      <c r="N59" s="16">
        <v>86</v>
      </c>
      <c r="O59" s="16">
        <v>86</v>
      </c>
      <c r="P59" s="16">
        <v>86</v>
      </c>
    </row>
    <row r="60" spans="1:16" x14ac:dyDescent="0.35"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35"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35"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35"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35">
      <c r="B64" s="4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7:16" x14ac:dyDescent="0.35">
      <c r="G65" s="6"/>
      <c r="H65" s="6"/>
      <c r="I65" s="6"/>
      <c r="J65" s="6"/>
      <c r="K65" s="6"/>
      <c r="L65" s="6"/>
      <c r="M65" s="6"/>
      <c r="N65" s="6"/>
      <c r="O65" s="6"/>
      <c r="P65" s="6"/>
    </row>
  </sheetData>
  <mergeCells count="22">
    <mergeCell ref="A1:O1"/>
    <mergeCell ref="A2:O2"/>
    <mergeCell ref="A3:O3"/>
    <mergeCell ref="K8:L8"/>
    <mergeCell ref="M8:M9"/>
    <mergeCell ref="D5:E8"/>
    <mergeCell ref="D9:E9"/>
    <mergeCell ref="F5:F8"/>
    <mergeCell ref="A5:A8"/>
    <mergeCell ref="B5:B8"/>
    <mergeCell ref="C5:C8"/>
    <mergeCell ref="Q10:R11"/>
    <mergeCell ref="G5:P5"/>
    <mergeCell ref="G6:P6"/>
    <mergeCell ref="G7:P7"/>
    <mergeCell ref="D59:F59"/>
    <mergeCell ref="D54:F54"/>
    <mergeCell ref="D55:F55"/>
    <mergeCell ref="D56:F56"/>
    <mergeCell ref="D57:F57"/>
    <mergeCell ref="D58:F58"/>
    <mergeCell ref="G8:H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activeCell="C16" sqref="C16"/>
    </sheetView>
  </sheetViews>
  <sheetFormatPr defaultRowHeight="15.5" x14ac:dyDescent="0.35"/>
  <cols>
    <col min="1" max="1" width="5.7265625" bestFit="1" customWidth="1"/>
    <col min="2" max="2" width="14.26953125" style="200" bestFit="1" customWidth="1"/>
    <col min="3" max="3" width="45.1796875" style="200" bestFit="1" customWidth="1"/>
    <col min="4" max="4" width="11.453125" bestFit="1" customWidth="1"/>
  </cols>
  <sheetData>
    <row r="1" spans="1:4" ht="14.5" x14ac:dyDescent="0.35">
      <c r="A1" s="351" t="s">
        <v>1</v>
      </c>
      <c r="B1" s="353" t="s">
        <v>2</v>
      </c>
      <c r="C1" s="353" t="s">
        <v>3</v>
      </c>
      <c r="D1" s="355" t="s">
        <v>36</v>
      </c>
    </row>
    <row r="2" spans="1:4" ht="14.5" x14ac:dyDescent="0.35">
      <c r="A2" s="352"/>
      <c r="B2" s="354"/>
      <c r="C2" s="354"/>
      <c r="D2" s="356"/>
    </row>
    <row r="3" spans="1:4" ht="14.5" x14ac:dyDescent="0.35">
      <c r="A3" s="352"/>
      <c r="B3" s="354"/>
      <c r="C3" s="354"/>
      <c r="D3" s="356"/>
    </row>
    <row r="4" spans="1:4" ht="14.5" x14ac:dyDescent="0.35">
      <c r="A4" s="352"/>
      <c r="B4" s="354"/>
      <c r="C4" s="354"/>
      <c r="D4" s="356"/>
    </row>
    <row r="5" spans="1:4" ht="17.5" x14ac:dyDescent="0.35">
      <c r="A5" s="209">
        <v>1</v>
      </c>
      <c r="B5" s="210">
        <v>2</v>
      </c>
      <c r="C5" s="210">
        <v>3</v>
      </c>
      <c r="D5" s="211">
        <v>4</v>
      </c>
    </row>
    <row r="6" spans="1:4" x14ac:dyDescent="0.35">
      <c r="A6" s="205">
        <v>1</v>
      </c>
      <c r="B6" s="127">
        <v>242501001</v>
      </c>
      <c r="C6" s="127" t="s">
        <v>25</v>
      </c>
      <c r="D6" s="40" t="s">
        <v>194</v>
      </c>
    </row>
    <row r="7" spans="1:4" x14ac:dyDescent="0.35">
      <c r="A7" s="205">
        <v>2</v>
      </c>
      <c r="B7" s="127">
        <v>242501002</v>
      </c>
      <c r="C7" s="127" t="s">
        <v>27</v>
      </c>
      <c r="D7" s="40" t="s">
        <v>194</v>
      </c>
    </row>
    <row r="8" spans="1:4" x14ac:dyDescent="0.35">
      <c r="A8" s="205">
        <v>3</v>
      </c>
      <c r="B8" s="127">
        <v>242501003</v>
      </c>
      <c r="C8" s="127" t="s">
        <v>28</v>
      </c>
      <c r="D8" s="40" t="s">
        <v>194</v>
      </c>
    </row>
    <row r="9" spans="1:4" x14ac:dyDescent="0.35">
      <c r="A9" s="205">
        <v>4</v>
      </c>
      <c r="B9" s="127">
        <v>242501004</v>
      </c>
      <c r="C9" s="127" t="s">
        <v>29</v>
      </c>
      <c r="D9" s="40" t="s">
        <v>194</v>
      </c>
    </row>
    <row r="10" spans="1:4" x14ac:dyDescent="0.35">
      <c r="A10" s="205">
        <v>5</v>
      </c>
      <c r="B10" s="127">
        <v>242501105</v>
      </c>
      <c r="C10" s="127" t="s">
        <v>30</v>
      </c>
      <c r="D10" s="40" t="s">
        <v>194</v>
      </c>
    </row>
    <row r="11" spans="1:4" x14ac:dyDescent="0.35">
      <c r="A11" s="205">
        <v>6</v>
      </c>
      <c r="B11" s="127">
        <v>242501005</v>
      </c>
      <c r="C11" s="127" t="s">
        <v>31</v>
      </c>
      <c r="D11" s="40" t="s">
        <v>194</v>
      </c>
    </row>
    <row r="12" spans="1:4" x14ac:dyDescent="0.35">
      <c r="A12" s="205">
        <v>7</v>
      </c>
      <c r="B12" s="127">
        <v>242501006</v>
      </c>
      <c r="C12" s="127" t="s">
        <v>317</v>
      </c>
      <c r="D12" s="40" t="s">
        <v>194</v>
      </c>
    </row>
    <row r="13" spans="1:4" x14ac:dyDescent="0.35">
      <c r="A13" s="205">
        <v>8</v>
      </c>
      <c r="B13" s="127">
        <v>242501007</v>
      </c>
      <c r="C13" s="127" t="s">
        <v>33</v>
      </c>
      <c r="D13" s="40" t="s">
        <v>194</v>
      </c>
    </row>
    <row r="14" spans="1:4" x14ac:dyDescent="0.35">
      <c r="A14" s="205">
        <v>9</v>
      </c>
      <c r="B14" s="127">
        <v>242501008</v>
      </c>
      <c r="C14" s="127" t="s">
        <v>34</v>
      </c>
      <c r="D14" s="40" t="s">
        <v>194</v>
      </c>
    </row>
    <row r="15" spans="1:4" x14ac:dyDescent="0.35">
      <c r="A15" s="205">
        <v>10</v>
      </c>
      <c r="B15" s="127">
        <v>242502116</v>
      </c>
      <c r="C15" s="127" t="s">
        <v>233</v>
      </c>
      <c r="D15" s="40" t="s">
        <v>194</v>
      </c>
    </row>
    <row r="16" spans="1:4" x14ac:dyDescent="0.35">
      <c r="A16" s="205">
        <v>11</v>
      </c>
      <c r="B16" s="127">
        <v>242501009</v>
      </c>
      <c r="C16" s="127" t="s">
        <v>35</v>
      </c>
      <c r="D16" s="40" t="s">
        <v>194</v>
      </c>
    </row>
    <row r="17" spans="1:4" x14ac:dyDescent="0.35">
      <c r="A17" s="205">
        <v>12</v>
      </c>
      <c r="B17" s="127">
        <v>242501010</v>
      </c>
      <c r="C17" s="127" t="s">
        <v>38</v>
      </c>
      <c r="D17" s="206" t="s">
        <v>195</v>
      </c>
    </row>
    <row r="18" spans="1:4" x14ac:dyDescent="0.35">
      <c r="A18" s="205">
        <v>13</v>
      </c>
      <c r="B18" s="127">
        <v>242501011</v>
      </c>
      <c r="C18" s="127" t="s">
        <v>39</v>
      </c>
      <c r="D18" s="206" t="s">
        <v>195</v>
      </c>
    </row>
    <row r="19" spans="1:4" x14ac:dyDescent="0.35">
      <c r="A19" s="205">
        <v>14</v>
      </c>
      <c r="B19" s="127">
        <v>242501012</v>
      </c>
      <c r="C19" s="127" t="s">
        <v>40</v>
      </c>
      <c r="D19" s="206" t="s">
        <v>195</v>
      </c>
    </row>
    <row r="20" spans="1:4" x14ac:dyDescent="0.35">
      <c r="A20" s="205">
        <v>15</v>
      </c>
      <c r="B20" s="127">
        <v>242501013</v>
      </c>
      <c r="C20" s="127" t="s">
        <v>41</v>
      </c>
      <c r="D20" s="206" t="s">
        <v>195</v>
      </c>
    </row>
    <row r="21" spans="1:4" x14ac:dyDescent="0.35">
      <c r="A21" s="205">
        <v>16</v>
      </c>
      <c r="B21" s="127">
        <v>242501014</v>
      </c>
      <c r="C21" s="127" t="s">
        <v>42</v>
      </c>
      <c r="D21" s="206" t="s">
        <v>195</v>
      </c>
    </row>
    <row r="22" spans="1:4" x14ac:dyDescent="0.35">
      <c r="A22" s="205">
        <v>17</v>
      </c>
      <c r="B22" s="127">
        <v>242501015</v>
      </c>
      <c r="C22" s="127" t="s">
        <v>43</v>
      </c>
      <c r="D22" s="206" t="s">
        <v>195</v>
      </c>
    </row>
    <row r="23" spans="1:4" x14ac:dyDescent="0.35">
      <c r="A23" s="205">
        <v>18</v>
      </c>
      <c r="B23" s="127">
        <v>242501016</v>
      </c>
      <c r="C23" s="127" t="s">
        <v>44</v>
      </c>
      <c r="D23" s="206" t="s">
        <v>195</v>
      </c>
    </row>
    <row r="24" spans="1:4" x14ac:dyDescent="0.35">
      <c r="A24" s="205">
        <v>19</v>
      </c>
      <c r="B24" s="127">
        <v>242501017</v>
      </c>
      <c r="C24" s="127" t="s">
        <v>45</v>
      </c>
      <c r="D24" s="206" t="s">
        <v>195</v>
      </c>
    </row>
    <row r="25" spans="1:4" x14ac:dyDescent="0.35">
      <c r="A25" s="205">
        <v>20</v>
      </c>
      <c r="B25" s="127">
        <v>242501018</v>
      </c>
      <c r="C25" s="201" t="s">
        <v>46</v>
      </c>
      <c r="D25" s="206" t="s">
        <v>195</v>
      </c>
    </row>
    <row r="26" spans="1:4" x14ac:dyDescent="0.35">
      <c r="A26" s="205">
        <v>21</v>
      </c>
      <c r="B26" s="127">
        <v>242501019</v>
      </c>
      <c r="C26" s="201" t="s">
        <v>47</v>
      </c>
      <c r="D26" s="206" t="s">
        <v>195</v>
      </c>
    </row>
    <row r="27" spans="1:4" x14ac:dyDescent="0.35">
      <c r="A27" s="205">
        <v>22</v>
      </c>
      <c r="B27" s="127">
        <v>242501020</v>
      </c>
      <c r="C27" s="201" t="s">
        <v>48</v>
      </c>
      <c r="D27" s="206" t="s">
        <v>195</v>
      </c>
    </row>
    <row r="28" spans="1:4" x14ac:dyDescent="0.35">
      <c r="A28" s="205">
        <v>23</v>
      </c>
      <c r="B28" s="127">
        <v>242501021</v>
      </c>
      <c r="C28" s="201" t="s">
        <v>49</v>
      </c>
      <c r="D28" s="206" t="s">
        <v>195</v>
      </c>
    </row>
    <row r="29" spans="1:4" x14ac:dyDescent="0.35">
      <c r="A29" s="205">
        <v>24</v>
      </c>
      <c r="B29" s="127">
        <v>242501022</v>
      </c>
      <c r="C29" s="201" t="s">
        <v>50</v>
      </c>
      <c r="D29" s="206" t="s">
        <v>195</v>
      </c>
    </row>
    <row r="30" spans="1:4" x14ac:dyDescent="0.35">
      <c r="A30" s="205">
        <v>25</v>
      </c>
      <c r="B30" s="127">
        <v>242501023</v>
      </c>
      <c r="C30" s="201" t="s">
        <v>51</v>
      </c>
      <c r="D30" s="206" t="s">
        <v>195</v>
      </c>
    </row>
    <row r="31" spans="1:4" x14ac:dyDescent="0.35">
      <c r="A31" s="205">
        <v>26</v>
      </c>
      <c r="B31" s="127">
        <v>242501024</v>
      </c>
      <c r="C31" s="201" t="s">
        <v>52</v>
      </c>
      <c r="D31" s="206" t="s">
        <v>195</v>
      </c>
    </row>
    <row r="32" spans="1:4" x14ac:dyDescent="0.35">
      <c r="A32" s="205">
        <v>27</v>
      </c>
      <c r="B32" s="127">
        <v>242501026</v>
      </c>
      <c r="C32" s="201" t="s">
        <v>53</v>
      </c>
      <c r="D32" s="206" t="s">
        <v>195</v>
      </c>
    </row>
    <row r="33" spans="1:4" x14ac:dyDescent="0.35">
      <c r="A33" s="205">
        <v>28</v>
      </c>
      <c r="B33" s="127">
        <v>242501027</v>
      </c>
      <c r="C33" s="201" t="s">
        <v>54</v>
      </c>
      <c r="D33" s="206" t="s">
        <v>195</v>
      </c>
    </row>
    <row r="34" spans="1:4" x14ac:dyDescent="0.35">
      <c r="A34" s="205">
        <v>29</v>
      </c>
      <c r="B34" s="127">
        <v>242501028</v>
      </c>
      <c r="C34" s="201" t="s">
        <v>55</v>
      </c>
      <c r="D34" s="206" t="s">
        <v>195</v>
      </c>
    </row>
    <row r="35" spans="1:4" x14ac:dyDescent="0.35">
      <c r="A35" s="205">
        <v>30</v>
      </c>
      <c r="B35" s="127">
        <v>242501030</v>
      </c>
      <c r="C35" s="201" t="s">
        <v>56</v>
      </c>
      <c r="D35" s="206" t="s">
        <v>195</v>
      </c>
    </row>
    <row r="36" spans="1:4" x14ac:dyDescent="0.35">
      <c r="A36" s="205">
        <v>31</v>
      </c>
      <c r="B36" s="127">
        <v>242501031</v>
      </c>
      <c r="C36" s="201" t="s">
        <v>57</v>
      </c>
      <c r="D36" s="206" t="s">
        <v>195</v>
      </c>
    </row>
    <row r="37" spans="1:4" x14ac:dyDescent="0.35">
      <c r="A37" s="205">
        <v>32</v>
      </c>
      <c r="B37" s="127">
        <v>242501032</v>
      </c>
      <c r="C37" s="201" t="s">
        <v>58</v>
      </c>
      <c r="D37" s="206" t="s">
        <v>195</v>
      </c>
    </row>
    <row r="38" spans="1:4" x14ac:dyDescent="0.35">
      <c r="A38" s="205">
        <v>33</v>
      </c>
      <c r="B38" s="127">
        <v>242501033</v>
      </c>
      <c r="C38" s="201" t="s">
        <v>59</v>
      </c>
      <c r="D38" s="206" t="s">
        <v>195</v>
      </c>
    </row>
    <row r="39" spans="1:4" x14ac:dyDescent="0.35">
      <c r="A39" s="205">
        <v>34</v>
      </c>
      <c r="B39" s="127">
        <v>242501034</v>
      </c>
      <c r="C39" s="201" t="s">
        <v>60</v>
      </c>
      <c r="D39" s="206" t="s">
        <v>195</v>
      </c>
    </row>
    <row r="40" spans="1:4" x14ac:dyDescent="0.35">
      <c r="A40" s="205">
        <v>35</v>
      </c>
      <c r="B40" s="127">
        <v>242501035</v>
      </c>
      <c r="C40" s="201" t="s">
        <v>61</v>
      </c>
      <c r="D40" s="206" t="s">
        <v>195</v>
      </c>
    </row>
    <row r="41" spans="1:4" x14ac:dyDescent="0.35">
      <c r="A41" s="205">
        <v>36</v>
      </c>
      <c r="B41" s="127">
        <v>242501036</v>
      </c>
      <c r="C41" s="201" t="s">
        <v>62</v>
      </c>
      <c r="D41" s="206" t="s">
        <v>195</v>
      </c>
    </row>
    <row r="42" spans="1:4" x14ac:dyDescent="0.35">
      <c r="A42" s="205">
        <v>37</v>
      </c>
      <c r="B42" s="127">
        <v>242501038</v>
      </c>
      <c r="C42" s="201" t="s">
        <v>63</v>
      </c>
      <c r="D42" s="206" t="s">
        <v>195</v>
      </c>
    </row>
    <row r="43" spans="1:4" x14ac:dyDescent="0.35">
      <c r="A43" s="205">
        <v>38</v>
      </c>
      <c r="B43" s="127">
        <v>242501039</v>
      </c>
      <c r="C43" s="201" t="s">
        <v>64</v>
      </c>
      <c r="D43" s="206" t="s">
        <v>195</v>
      </c>
    </row>
    <row r="44" spans="1:4" x14ac:dyDescent="0.35">
      <c r="A44" s="205">
        <v>39</v>
      </c>
      <c r="B44" s="127">
        <v>242501040</v>
      </c>
      <c r="C44" s="201" t="s">
        <v>65</v>
      </c>
      <c r="D44" s="206" t="s">
        <v>195</v>
      </c>
    </row>
    <row r="45" spans="1:4" x14ac:dyDescent="0.35">
      <c r="A45" s="205">
        <v>40</v>
      </c>
      <c r="B45" s="127">
        <v>242501041</v>
      </c>
      <c r="C45" s="201" t="s">
        <v>66</v>
      </c>
      <c r="D45" s="206" t="s">
        <v>195</v>
      </c>
    </row>
    <row r="46" spans="1:4" x14ac:dyDescent="0.35">
      <c r="A46" s="205">
        <v>41</v>
      </c>
      <c r="B46" s="127">
        <v>242501042</v>
      </c>
      <c r="C46" s="201" t="s">
        <v>67</v>
      </c>
      <c r="D46" s="206" t="s">
        <v>195</v>
      </c>
    </row>
    <row r="47" spans="1:4" x14ac:dyDescent="0.35">
      <c r="A47" s="205">
        <v>42</v>
      </c>
      <c r="B47" s="127">
        <v>242501043</v>
      </c>
      <c r="C47" s="201" t="s">
        <v>68</v>
      </c>
      <c r="D47" s="206" t="s">
        <v>195</v>
      </c>
    </row>
    <row r="48" spans="1:4" x14ac:dyDescent="0.35">
      <c r="A48" s="205">
        <v>43</v>
      </c>
      <c r="B48" s="127">
        <v>242501044</v>
      </c>
      <c r="C48" s="201" t="s">
        <v>69</v>
      </c>
      <c r="D48" s="206" t="s">
        <v>195</v>
      </c>
    </row>
    <row r="49" spans="1:4" x14ac:dyDescent="0.35">
      <c r="A49" s="205">
        <v>44</v>
      </c>
      <c r="B49" s="127">
        <v>242501045</v>
      </c>
      <c r="C49" s="201" t="s">
        <v>70</v>
      </c>
      <c r="D49" s="206" t="s">
        <v>195</v>
      </c>
    </row>
    <row r="50" spans="1:4" x14ac:dyDescent="0.35">
      <c r="A50" s="205">
        <v>45</v>
      </c>
      <c r="B50" s="127">
        <v>242501046</v>
      </c>
      <c r="C50" s="201" t="s">
        <v>71</v>
      </c>
      <c r="D50" s="206" t="s">
        <v>195</v>
      </c>
    </row>
    <row r="51" spans="1:4" x14ac:dyDescent="0.35">
      <c r="A51" s="205">
        <v>46</v>
      </c>
      <c r="B51" s="127">
        <v>232401001</v>
      </c>
      <c r="C51" s="201" t="s">
        <v>76</v>
      </c>
      <c r="D51" s="207" t="s">
        <v>196</v>
      </c>
    </row>
    <row r="52" spans="1:4" x14ac:dyDescent="0.35">
      <c r="A52" s="205">
        <v>47</v>
      </c>
      <c r="B52" s="127">
        <v>232401002</v>
      </c>
      <c r="C52" s="201" t="s">
        <v>77</v>
      </c>
      <c r="D52" s="207" t="s">
        <v>196</v>
      </c>
    </row>
    <row r="53" spans="1:4" x14ac:dyDescent="0.35">
      <c r="A53" s="205">
        <v>48</v>
      </c>
      <c r="B53" s="127">
        <v>232401003</v>
      </c>
      <c r="C53" s="201" t="s">
        <v>78</v>
      </c>
      <c r="D53" s="207" t="s">
        <v>196</v>
      </c>
    </row>
    <row r="54" spans="1:4" x14ac:dyDescent="0.35">
      <c r="A54" s="205">
        <v>49</v>
      </c>
      <c r="B54" s="127">
        <v>232401004</v>
      </c>
      <c r="C54" s="127" t="s">
        <v>80</v>
      </c>
      <c r="D54" s="207" t="s">
        <v>196</v>
      </c>
    </row>
    <row r="55" spans="1:4" x14ac:dyDescent="0.35">
      <c r="A55" s="205">
        <v>50</v>
      </c>
      <c r="B55" s="127">
        <v>232401005</v>
      </c>
      <c r="C55" s="127" t="s">
        <v>79</v>
      </c>
      <c r="D55" s="207" t="s">
        <v>196</v>
      </c>
    </row>
    <row r="56" spans="1:4" x14ac:dyDescent="0.35">
      <c r="A56" s="205">
        <v>51</v>
      </c>
      <c r="B56" s="127">
        <v>232401006</v>
      </c>
      <c r="C56" s="127" t="s">
        <v>289</v>
      </c>
      <c r="D56" s="207" t="s">
        <v>196</v>
      </c>
    </row>
    <row r="57" spans="1:4" x14ac:dyDescent="0.35">
      <c r="A57" s="205">
        <v>52</v>
      </c>
      <c r="B57" s="127">
        <v>232401007</v>
      </c>
      <c r="C57" s="127" t="s">
        <v>82</v>
      </c>
      <c r="D57" s="207" t="s">
        <v>196</v>
      </c>
    </row>
    <row r="58" spans="1:4" x14ac:dyDescent="0.35">
      <c r="A58" s="205">
        <v>53</v>
      </c>
      <c r="B58" s="202">
        <v>232401008</v>
      </c>
      <c r="C58" s="202" t="s">
        <v>83</v>
      </c>
      <c r="D58" s="207" t="s">
        <v>196</v>
      </c>
    </row>
    <row r="59" spans="1:4" x14ac:dyDescent="0.35">
      <c r="A59" s="205">
        <v>54</v>
      </c>
      <c r="B59" s="202">
        <v>232401009</v>
      </c>
      <c r="C59" s="202" t="s">
        <v>84</v>
      </c>
      <c r="D59" s="207" t="s">
        <v>196</v>
      </c>
    </row>
    <row r="60" spans="1:4" x14ac:dyDescent="0.35">
      <c r="A60" s="205">
        <v>55</v>
      </c>
      <c r="B60" s="203">
        <v>232401011</v>
      </c>
      <c r="C60" s="203" t="s">
        <v>85</v>
      </c>
      <c r="D60" s="207" t="s">
        <v>196</v>
      </c>
    </row>
    <row r="61" spans="1:4" x14ac:dyDescent="0.35">
      <c r="A61" s="205">
        <v>56</v>
      </c>
      <c r="B61" s="203">
        <v>232401012</v>
      </c>
      <c r="C61" s="203" t="s">
        <v>86</v>
      </c>
      <c r="D61" s="207" t="s">
        <v>196</v>
      </c>
    </row>
    <row r="62" spans="1:4" x14ac:dyDescent="0.35">
      <c r="A62" s="205">
        <v>57</v>
      </c>
      <c r="B62" s="203">
        <v>232401013</v>
      </c>
      <c r="C62" s="203" t="s">
        <v>93</v>
      </c>
      <c r="D62" s="207" t="s">
        <v>196</v>
      </c>
    </row>
    <row r="63" spans="1:4" x14ac:dyDescent="0.35">
      <c r="A63" s="205">
        <v>58</v>
      </c>
      <c r="B63" s="203">
        <v>232401014</v>
      </c>
      <c r="C63" s="203" t="s">
        <v>87</v>
      </c>
      <c r="D63" s="207" t="s">
        <v>196</v>
      </c>
    </row>
    <row r="64" spans="1:4" x14ac:dyDescent="0.35">
      <c r="A64" s="205">
        <v>59</v>
      </c>
      <c r="B64" s="203">
        <v>232401015</v>
      </c>
      <c r="C64" s="203" t="s">
        <v>88</v>
      </c>
      <c r="D64" s="207" t="s">
        <v>196</v>
      </c>
    </row>
    <row r="65" spans="1:4" x14ac:dyDescent="0.35">
      <c r="A65" s="205">
        <v>60</v>
      </c>
      <c r="B65" s="203">
        <v>232401016</v>
      </c>
      <c r="C65" s="203" t="s">
        <v>89</v>
      </c>
      <c r="D65" s="207" t="s">
        <v>196</v>
      </c>
    </row>
    <row r="66" spans="1:4" x14ac:dyDescent="0.35">
      <c r="A66" s="205">
        <v>61</v>
      </c>
      <c r="B66" s="203">
        <v>232401017</v>
      </c>
      <c r="C66" s="203" t="s">
        <v>90</v>
      </c>
      <c r="D66" s="207" t="s">
        <v>196</v>
      </c>
    </row>
    <row r="67" spans="1:4" x14ac:dyDescent="0.35">
      <c r="A67" s="205">
        <v>62</v>
      </c>
      <c r="B67" s="203">
        <v>232401018</v>
      </c>
      <c r="C67" s="203" t="s">
        <v>91</v>
      </c>
      <c r="D67" s="207" t="s">
        <v>196</v>
      </c>
    </row>
    <row r="68" spans="1:4" x14ac:dyDescent="0.35">
      <c r="A68" s="205">
        <v>63</v>
      </c>
      <c r="B68" s="203">
        <v>232401019</v>
      </c>
      <c r="C68" s="203" t="s">
        <v>92</v>
      </c>
      <c r="D68" s="207" t="s">
        <v>196</v>
      </c>
    </row>
    <row r="69" spans="1:4" x14ac:dyDescent="0.35">
      <c r="A69" s="205">
        <v>64</v>
      </c>
      <c r="B69" s="203">
        <v>232401020</v>
      </c>
      <c r="C69" s="203" t="s">
        <v>94</v>
      </c>
      <c r="D69" s="207" t="s">
        <v>196</v>
      </c>
    </row>
    <row r="70" spans="1:4" x14ac:dyDescent="0.35">
      <c r="A70" s="205">
        <v>65</v>
      </c>
      <c r="B70" s="203">
        <v>232401021</v>
      </c>
      <c r="C70" s="203" t="s">
        <v>95</v>
      </c>
      <c r="D70" s="207" t="s">
        <v>197</v>
      </c>
    </row>
    <row r="71" spans="1:4" x14ac:dyDescent="0.35">
      <c r="A71" s="205">
        <v>66</v>
      </c>
      <c r="B71" s="203">
        <v>232401022</v>
      </c>
      <c r="C71" s="203" t="s">
        <v>96</v>
      </c>
      <c r="D71" s="207" t="s">
        <v>197</v>
      </c>
    </row>
    <row r="72" spans="1:4" x14ac:dyDescent="0.35">
      <c r="A72" s="205">
        <v>67</v>
      </c>
      <c r="B72" s="203">
        <v>232401023</v>
      </c>
      <c r="C72" s="203" t="s">
        <v>101</v>
      </c>
      <c r="D72" s="207" t="s">
        <v>197</v>
      </c>
    </row>
    <row r="73" spans="1:4" x14ac:dyDescent="0.35">
      <c r="A73" s="205">
        <v>68</v>
      </c>
      <c r="B73" s="203">
        <v>232401024</v>
      </c>
      <c r="C73" s="203" t="s">
        <v>97</v>
      </c>
      <c r="D73" s="207" t="s">
        <v>197</v>
      </c>
    </row>
    <row r="74" spans="1:4" x14ac:dyDescent="0.35">
      <c r="A74" s="205">
        <v>69</v>
      </c>
      <c r="B74" s="203">
        <v>232401025</v>
      </c>
      <c r="C74" s="203" t="s">
        <v>98</v>
      </c>
      <c r="D74" s="207" t="s">
        <v>197</v>
      </c>
    </row>
    <row r="75" spans="1:4" x14ac:dyDescent="0.35">
      <c r="A75" s="205">
        <v>70</v>
      </c>
      <c r="B75" s="203">
        <v>232401026</v>
      </c>
      <c r="C75" s="203" t="s">
        <v>99</v>
      </c>
      <c r="D75" s="207" t="s">
        <v>197</v>
      </c>
    </row>
    <row r="76" spans="1:4" x14ac:dyDescent="0.35">
      <c r="A76" s="205">
        <v>71</v>
      </c>
      <c r="B76" s="203">
        <v>232401027</v>
      </c>
      <c r="C76" s="203" t="s">
        <v>100</v>
      </c>
      <c r="D76" s="207" t="s">
        <v>197</v>
      </c>
    </row>
    <row r="77" spans="1:4" x14ac:dyDescent="0.35">
      <c r="A77" s="205">
        <v>72</v>
      </c>
      <c r="B77" s="203">
        <v>232401028</v>
      </c>
      <c r="C77" s="203" t="s">
        <v>102</v>
      </c>
      <c r="D77" s="207" t="s">
        <v>197</v>
      </c>
    </row>
    <row r="78" spans="1:4" x14ac:dyDescent="0.35">
      <c r="A78" s="205">
        <v>73</v>
      </c>
      <c r="B78" s="203">
        <v>232401029</v>
      </c>
      <c r="C78" s="203" t="s">
        <v>103</v>
      </c>
      <c r="D78" s="207" t="s">
        <v>197</v>
      </c>
    </row>
    <row r="79" spans="1:4" x14ac:dyDescent="0.35">
      <c r="A79" s="205">
        <v>74</v>
      </c>
      <c r="B79" s="203">
        <v>232401030</v>
      </c>
      <c r="C79" s="203" t="s">
        <v>104</v>
      </c>
      <c r="D79" s="207" t="s">
        <v>197</v>
      </c>
    </row>
    <row r="80" spans="1:4" x14ac:dyDescent="0.35">
      <c r="A80" s="205">
        <v>75</v>
      </c>
      <c r="B80" s="203">
        <v>232401031</v>
      </c>
      <c r="C80" s="203" t="s">
        <v>105</v>
      </c>
      <c r="D80" s="207" t="s">
        <v>197</v>
      </c>
    </row>
    <row r="81" spans="1:4" x14ac:dyDescent="0.35">
      <c r="A81" s="205">
        <v>76</v>
      </c>
      <c r="B81" s="203">
        <v>232401032</v>
      </c>
      <c r="C81" s="203" t="s">
        <v>106</v>
      </c>
      <c r="D81" s="207" t="s">
        <v>197</v>
      </c>
    </row>
    <row r="82" spans="1:4" x14ac:dyDescent="0.35">
      <c r="A82" s="205">
        <v>77</v>
      </c>
      <c r="B82" s="203">
        <v>232401033</v>
      </c>
      <c r="C82" s="203" t="s">
        <v>107</v>
      </c>
      <c r="D82" s="207" t="s">
        <v>197</v>
      </c>
    </row>
    <row r="83" spans="1:4" x14ac:dyDescent="0.35">
      <c r="A83" s="205">
        <v>78</v>
      </c>
      <c r="B83" s="203">
        <v>232401035</v>
      </c>
      <c r="C83" s="203" t="s">
        <v>290</v>
      </c>
      <c r="D83" s="207" t="s">
        <v>197</v>
      </c>
    </row>
    <row r="84" spans="1:4" x14ac:dyDescent="0.35">
      <c r="A84" s="205">
        <v>79</v>
      </c>
      <c r="B84" s="203">
        <v>232401036</v>
      </c>
      <c r="C84" s="203" t="s">
        <v>291</v>
      </c>
      <c r="D84" s="207" t="s">
        <v>197</v>
      </c>
    </row>
    <row r="85" spans="1:4" x14ac:dyDescent="0.35">
      <c r="A85" s="205">
        <v>80</v>
      </c>
      <c r="B85" s="203">
        <v>232401039</v>
      </c>
      <c r="C85" s="203" t="s">
        <v>292</v>
      </c>
      <c r="D85" s="207" t="s">
        <v>197</v>
      </c>
    </row>
    <row r="86" spans="1:4" x14ac:dyDescent="0.35">
      <c r="A86" s="205">
        <v>81</v>
      </c>
      <c r="B86" s="203">
        <v>232401040</v>
      </c>
      <c r="C86" s="203" t="s">
        <v>293</v>
      </c>
      <c r="D86" s="207" t="s">
        <v>197</v>
      </c>
    </row>
    <row r="87" spans="1:4" x14ac:dyDescent="0.35">
      <c r="A87" s="205">
        <v>82</v>
      </c>
      <c r="B87" s="203">
        <v>232401042</v>
      </c>
      <c r="C87" s="203" t="s">
        <v>112</v>
      </c>
      <c r="D87" s="207" t="s">
        <v>197</v>
      </c>
    </row>
    <row r="88" spans="1:4" x14ac:dyDescent="0.35">
      <c r="A88" s="205">
        <v>83</v>
      </c>
      <c r="B88" s="203">
        <v>232401043</v>
      </c>
      <c r="C88" s="203" t="s">
        <v>113</v>
      </c>
      <c r="D88" s="207" t="s">
        <v>197</v>
      </c>
    </row>
    <row r="89" spans="1:4" x14ac:dyDescent="0.35">
      <c r="A89" s="205">
        <v>84</v>
      </c>
      <c r="B89" s="203">
        <v>232401044</v>
      </c>
      <c r="C89" s="203" t="s">
        <v>114</v>
      </c>
      <c r="D89" s="207" t="s">
        <v>197</v>
      </c>
    </row>
    <row r="90" spans="1:4" x14ac:dyDescent="0.35">
      <c r="A90" s="205">
        <v>85</v>
      </c>
      <c r="B90" s="203">
        <v>232401045</v>
      </c>
      <c r="C90" s="203" t="s">
        <v>115</v>
      </c>
      <c r="D90" s="207" t="s">
        <v>197</v>
      </c>
    </row>
    <row r="91" spans="1:4" x14ac:dyDescent="0.35">
      <c r="A91" s="205">
        <v>86</v>
      </c>
      <c r="B91" s="203">
        <v>232401046</v>
      </c>
      <c r="C91" s="203" t="s">
        <v>116</v>
      </c>
      <c r="D91" s="207" t="s">
        <v>197</v>
      </c>
    </row>
    <row r="92" spans="1:4" x14ac:dyDescent="0.35">
      <c r="A92" s="205">
        <v>87</v>
      </c>
      <c r="B92" s="203">
        <v>232401047</v>
      </c>
      <c r="C92" s="203" t="s">
        <v>117</v>
      </c>
      <c r="D92" s="207" t="s">
        <v>197</v>
      </c>
    </row>
    <row r="93" spans="1:4" x14ac:dyDescent="0.35">
      <c r="A93" s="205">
        <v>88</v>
      </c>
      <c r="B93" s="203">
        <v>232401048</v>
      </c>
      <c r="C93" s="203" t="s">
        <v>119</v>
      </c>
      <c r="D93" s="207" t="s">
        <v>197</v>
      </c>
    </row>
    <row r="94" spans="1:4" x14ac:dyDescent="0.35">
      <c r="A94" s="205">
        <v>89</v>
      </c>
      <c r="B94" s="203">
        <v>232401049</v>
      </c>
      <c r="C94" s="203" t="s">
        <v>118</v>
      </c>
      <c r="D94" s="207" t="s">
        <v>197</v>
      </c>
    </row>
    <row r="95" spans="1:4" x14ac:dyDescent="0.35">
      <c r="A95" s="205">
        <v>90</v>
      </c>
      <c r="B95" s="203">
        <v>232401050</v>
      </c>
      <c r="C95" s="203" t="s">
        <v>120</v>
      </c>
      <c r="D95" s="207" t="s">
        <v>197</v>
      </c>
    </row>
    <row r="96" spans="1:4" x14ac:dyDescent="0.35">
      <c r="A96" s="205">
        <v>91</v>
      </c>
      <c r="B96" s="203">
        <v>232401052</v>
      </c>
      <c r="C96" s="203" t="s">
        <v>121</v>
      </c>
      <c r="D96" s="207" t="s">
        <v>197</v>
      </c>
    </row>
    <row r="97" spans="1:4" x14ac:dyDescent="0.35">
      <c r="A97" s="205">
        <v>92</v>
      </c>
      <c r="B97" s="203">
        <v>232401053</v>
      </c>
      <c r="C97" s="203" t="s">
        <v>122</v>
      </c>
      <c r="D97" s="207" t="s">
        <v>197</v>
      </c>
    </row>
    <row r="98" spans="1:4" ht="16" thickBot="1" x14ac:dyDescent="0.4">
      <c r="A98" s="208">
        <v>93</v>
      </c>
      <c r="B98" s="204">
        <v>232401054</v>
      </c>
      <c r="C98" s="204" t="s">
        <v>123</v>
      </c>
      <c r="D98" s="207" t="s">
        <v>197</v>
      </c>
    </row>
    <row r="99" spans="1:4" x14ac:dyDescent="0.35">
      <c r="C99" s="200" t="s">
        <v>294</v>
      </c>
      <c r="D99" s="301" t="s">
        <v>190</v>
      </c>
    </row>
    <row r="100" spans="1:4" x14ac:dyDescent="0.35">
      <c r="C100" s="200" t="s">
        <v>295</v>
      </c>
      <c r="D100" s="301" t="s">
        <v>190</v>
      </c>
    </row>
    <row r="101" spans="1:4" x14ac:dyDescent="0.35">
      <c r="C101" s="200" t="s">
        <v>296</v>
      </c>
      <c r="D101" s="301" t="s">
        <v>190</v>
      </c>
    </row>
    <row r="102" spans="1:4" x14ac:dyDescent="0.35">
      <c r="C102" s="200" t="s">
        <v>297</v>
      </c>
      <c r="D102" s="301" t="s">
        <v>190</v>
      </c>
    </row>
    <row r="103" spans="1:4" x14ac:dyDescent="0.35">
      <c r="C103" s="200" t="s">
        <v>298</v>
      </c>
      <c r="D103" s="301" t="s">
        <v>190</v>
      </c>
    </row>
    <row r="104" spans="1:4" x14ac:dyDescent="0.35">
      <c r="C104" s="200" t="s">
        <v>299</v>
      </c>
      <c r="D104" s="301" t="s">
        <v>190</v>
      </c>
    </row>
    <row r="105" spans="1:4" x14ac:dyDescent="0.35">
      <c r="C105" s="200" t="s">
        <v>300</v>
      </c>
      <c r="D105" s="301" t="s">
        <v>190</v>
      </c>
    </row>
    <row r="106" spans="1:4" x14ac:dyDescent="0.35">
      <c r="C106" s="200" t="s">
        <v>301</v>
      </c>
      <c r="D106" s="301" t="s">
        <v>190</v>
      </c>
    </row>
    <row r="107" spans="1:4" x14ac:dyDescent="0.35">
      <c r="C107" s="200" t="s">
        <v>302</v>
      </c>
      <c r="D107" s="301" t="s">
        <v>190</v>
      </c>
    </row>
    <row r="108" spans="1:4" x14ac:dyDescent="0.35">
      <c r="C108" s="200" t="s">
        <v>303</v>
      </c>
      <c r="D108" s="301" t="s">
        <v>190</v>
      </c>
    </row>
    <row r="109" spans="1:4" x14ac:dyDescent="0.35">
      <c r="C109" s="200" t="s">
        <v>304</v>
      </c>
      <c r="D109" s="301" t="s">
        <v>190</v>
      </c>
    </row>
    <row r="110" spans="1:4" x14ac:dyDescent="0.35">
      <c r="C110" s="200" t="s">
        <v>305</v>
      </c>
      <c r="D110" s="301" t="s">
        <v>190</v>
      </c>
    </row>
    <row r="111" spans="1:4" x14ac:dyDescent="0.35">
      <c r="C111" s="200" t="s">
        <v>306</v>
      </c>
      <c r="D111" s="301" t="s">
        <v>190</v>
      </c>
    </row>
    <row r="112" spans="1:4" x14ac:dyDescent="0.35">
      <c r="C112" s="200" t="s">
        <v>307</v>
      </c>
      <c r="D112" s="301" t="s">
        <v>190</v>
      </c>
    </row>
    <row r="113" spans="3:4" x14ac:dyDescent="0.35">
      <c r="C113" s="200" t="s">
        <v>308</v>
      </c>
      <c r="D113" s="301" t="s">
        <v>190</v>
      </c>
    </row>
    <row r="114" spans="3:4" x14ac:dyDescent="0.35">
      <c r="C114" s="200" t="s">
        <v>309</v>
      </c>
      <c r="D114" s="301" t="s">
        <v>190</v>
      </c>
    </row>
    <row r="115" spans="3:4" x14ac:dyDescent="0.35">
      <c r="C115" s="200" t="s">
        <v>310</v>
      </c>
      <c r="D115" s="301" t="s">
        <v>190</v>
      </c>
    </row>
    <row r="116" spans="3:4" x14ac:dyDescent="0.35">
      <c r="C116" s="200" t="s">
        <v>311</v>
      </c>
      <c r="D116" s="301" t="s">
        <v>190</v>
      </c>
    </row>
    <row r="117" spans="3:4" x14ac:dyDescent="0.35">
      <c r="C117" s="200" t="s">
        <v>312</v>
      </c>
      <c r="D117" s="301" t="s">
        <v>190</v>
      </c>
    </row>
    <row r="118" spans="3:4" x14ac:dyDescent="0.35">
      <c r="C118" s="200" t="s">
        <v>313</v>
      </c>
      <c r="D118" s="301" t="s">
        <v>190</v>
      </c>
    </row>
    <row r="119" spans="3:4" x14ac:dyDescent="0.35">
      <c r="C119" s="200" t="s">
        <v>314</v>
      </c>
      <c r="D119" s="301" t="s">
        <v>190</v>
      </c>
    </row>
    <row r="120" spans="3:4" x14ac:dyDescent="0.35">
      <c r="C120" s="200" t="s">
        <v>315</v>
      </c>
      <c r="D120" s="301" t="s">
        <v>190</v>
      </c>
    </row>
    <row r="121" spans="3:4" x14ac:dyDescent="0.35">
      <c r="C121" s="200" t="s">
        <v>316</v>
      </c>
      <c r="D121" s="301" t="s">
        <v>190</v>
      </c>
    </row>
  </sheetData>
  <mergeCells count="4">
    <mergeCell ref="A1:A4"/>
    <mergeCell ref="B1:B4"/>
    <mergeCell ref="C1:C4"/>
    <mergeCell ref="D1:D4"/>
  </mergeCells>
  <conditionalFormatting sqref="C6:C7 C9:C11 C13:C21 C23:C42 C44:C53">
    <cfRule type="expression" dxfId="8" priority="2">
      <formula>COUNTIF(C:C,C6)&gt;1</formula>
    </cfRule>
  </conditionalFormatting>
  <conditionalFormatting sqref="C8">
    <cfRule type="expression" dxfId="7" priority="3">
      <formula>COUNTIF(#REF!,C8)&gt;1</formula>
    </cfRule>
  </conditionalFormatting>
  <conditionalFormatting sqref="C43">
    <cfRule type="expression" dxfId="6" priority="1">
      <formula>COUNTIF(Q:Q,C43)&gt;1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zoomScale="70" zoomScaleNormal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0" sqref="G10"/>
    </sheetView>
  </sheetViews>
  <sheetFormatPr defaultRowHeight="14.5" x14ac:dyDescent="0.35"/>
  <cols>
    <col min="1" max="1" width="4" bestFit="1" customWidth="1"/>
    <col min="2" max="2" width="15.54296875" customWidth="1"/>
    <col min="3" max="3" width="45.1796875" bestFit="1" customWidth="1"/>
    <col min="4" max="4" width="4.1796875" customWidth="1"/>
    <col min="5" max="5" width="3" customWidth="1"/>
    <col min="6" max="6" width="6.26953125" bestFit="1" customWidth="1"/>
    <col min="7" max="7" width="10.7265625" style="5" bestFit="1" customWidth="1"/>
    <col min="8" max="8" width="8.1796875" style="5" bestFit="1" customWidth="1"/>
    <col min="9" max="9" width="6" style="5" customWidth="1"/>
    <col min="10" max="10" width="7.1796875" style="5" bestFit="1" customWidth="1"/>
    <col min="11" max="11" width="7.1796875" style="5" customWidth="1"/>
    <col min="12" max="12" width="8.26953125" style="5" bestFit="1" customWidth="1"/>
    <col min="13" max="13" width="13.54296875" style="5" customWidth="1"/>
    <col min="14" max="14" width="14.453125" style="5" hidden="1" customWidth="1"/>
    <col min="16" max="16" width="6" style="5" customWidth="1"/>
    <col min="17" max="17" width="7.1796875" style="5" bestFit="1" customWidth="1"/>
    <col min="18" max="18" width="14" style="5" customWidth="1"/>
    <col min="19" max="19" width="9.26953125" style="5" hidden="1" customWidth="1"/>
    <col min="21" max="21" width="6" style="5" customWidth="1"/>
    <col min="22" max="22" width="7.1796875" style="5" bestFit="1" customWidth="1"/>
    <col min="23" max="23" width="12.453125" style="5" customWidth="1"/>
    <col min="24" max="24" width="8.81640625" style="5" customWidth="1"/>
  </cols>
  <sheetData>
    <row r="1" spans="1:31" ht="18.5" x14ac:dyDescent="0.35">
      <c r="A1" s="386" t="s">
        <v>75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</row>
    <row r="2" spans="1:31" ht="18.5" x14ac:dyDescent="0.35">
      <c r="A2" s="386" t="s">
        <v>20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</row>
    <row r="3" spans="1:31" ht="18.5" x14ac:dyDescent="0.35">
      <c r="A3" s="386" t="s">
        <v>0</v>
      </c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</row>
    <row r="4" spans="1:31" ht="15" thickBot="1" x14ac:dyDescent="0.4">
      <c r="G4" s="6"/>
      <c r="H4" s="6"/>
      <c r="I4" s="6"/>
      <c r="J4" s="6"/>
      <c r="K4" s="6"/>
      <c r="L4" s="6"/>
      <c r="M4" s="6"/>
      <c r="N4" s="6"/>
      <c r="P4" s="6"/>
      <c r="Q4" s="6"/>
      <c r="R4" s="6"/>
      <c r="S4" s="6"/>
      <c r="U4" s="6"/>
      <c r="V4" s="6"/>
      <c r="W4" s="6"/>
      <c r="X4" s="6"/>
    </row>
    <row r="5" spans="1:31" ht="15.5" x14ac:dyDescent="0.35">
      <c r="A5" s="374" t="s">
        <v>1</v>
      </c>
      <c r="B5" s="387" t="s">
        <v>2</v>
      </c>
      <c r="C5" s="388" t="s">
        <v>3</v>
      </c>
      <c r="D5" s="374" t="s">
        <v>4</v>
      </c>
      <c r="E5" s="375"/>
      <c r="F5" s="378" t="s">
        <v>36</v>
      </c>
      <c r="G5" s="380" t="s">
        <v>127</v>
      </c>
      <c r="H5" s="381"/>
      <c r="I5" s="381"/>
      <c r="J5" s="381"/>
      <c r="K5" s="381"/>
      <c r="L5" s="381"/>
      <c r="M5" s="381"/>
      <c r="N5" s="382"/>
      <c r="P5" s="380" t="s">
        <v>127</v>
      </c>
      <c r="Q5" s="381"/>
      <c r="R5" s="381"/>
      <c r="S5" s="382"/>
      <c r="U5" s="380" t="s">
        <v>127</v>
      </c>
      <c r="V5" s="381"/>
      <c r="W5" s="381"/>
      <c r="X5" s="382"/>
    </row>
    <row r="6" spans="1:31" ht="15.5" x14ac:dyDescent="0.35">
      <c r="A6" s="376"/>
      <c r="B6" s="369"/>
      <c r="C6" s="389"/>
      <c r="D6" s="376"/>
      <c r="E6" s="377"/>
      <c r="F6" s="379"/>
      <c r="G6" s="383" t="s">
        <v>24</v>
      </c>
      <c r="H6" s="384"/>
      <c r="I6" s="384"/>
      <c r="J6" s="384"/>
      <c r="K6" s="384"/>
      <c r="L6" s="384"/>
      <c r="M6" s="384"/>
      <c r="N6" s="385"/>
      <c r="P6" s="383" t="s">
        <v>24</v>
      </c>
      <c r="Q6" s="384"/>
      <c r="R6" s="384"/>
      <c r="S6" s="385"/>
      <c r="U6" s="383" t="s">
        <v>24</v>
      </c>
      <c r="V6" s="384"/>
      <c r="W6" s="384"/>
      <c r="X6" s="385"/>
    </row>
    <row r="7" spans="1:31" ht="15.75" customHeight="1" x14ac:dyDescent="0.35">
      <c r="A7" s="376"/>
      <c r="B7" s="369"/>
      <c r="C7" s="389"/>
      <c r="D7" s="376"/>
      <c r="E7" s="377"/>
      <c r="F7" s="379"/>
      <c r="G7" s="366" t="s">
        <v>124</v>
      </c>
      <c r="H7" s="367"/>
      <c r="I7" s="367"/>
      <c r="J7" s="367"/>
      <c r="K7" s="367"/>
      <c r="L7" s="367"/>
      <c r="M7" s="367"/>
      <c r="N7" s="368"/>
      <c r="P7" s="366" t="s">
        <v>125</v>
      </c>
      <c r="Q7" s="367"/>
      <c r="R7" s="367"/>
      <c r="S7" s="368"/>
      <c r="U7" s="366" t="s">
        <v>126</v>
      </c>
      <c r="V7" s="367"/>
      <c r="W7" s="367"/>
      <c r="X7" s="368"/>
    </row>
    <row r="8" spans="1:31" x14ac:dyDescent="0.35">
      <c r="A8" s="376"/>
      <c r="B8" s="369"/>
      <c r="C8" s="389"/>
      <c r="D8" s="376"/>
      <c r="E8" s="377"/>
      <c r="F8" s="379"/>
      <c r="G8" s="59" t="s">
        <v>11</v>
      </c>
      <c r="H8" s="60" t="s">
        <v>16</v>
      </c>
      <c r="I8" s="60" t="s">
        <v>15</v>
      </c>
      <c r="J8" s="369" t="s">
        <v>19</v>
      </c>
      <c r="K8" s="369"/>
      <c r="L8" s="370" t="s">
        <v>14</v>
      </c>
      <c r="M8" s="18" t="s">
        <v>187</v>
      </c>
      <c r="N8" s="61" t="s">
        <v>73</v>
      </c>
      <c r="O8" s="7"/>
      <c r="P8" s="20" t="s">
        <v>15</v>
      </c>
      <c r="Q8" s="21" t="s">
        <v>19</v>
      </c>
      <c r="R8" s="18" t="s">
        <v>187</v>
      </c>
      <c r="S8" s="1" t="s">
        <v>73</v>
      </c>
      <c r="U8" s="20" t="s">
        <v>15</v>
      </c>
      <c r="V8" s="21" t="s">
        <v>19</v>
      </c>
      <c r="W8" s="18" t="s">
        <v>18</v>
      </c>
      <c r="X8" s="1" t="s">
        <v>73</v>
      </c>
    </row>
    <row r="9" spans="1:31" s="96" customFormat="1" ht="15.75" customHeight="1" x14ac:dyDescent="0.35">
      <c r="A9" s="91">
        <v>1</v>
      </c>
      <c r="B9" s="92">
        <v>2</v>
      </c>
      <c r="C9" s="93">
        <v>3</v>
      </c>
      <c r="D9" s="344">
        <v>4</v>
      </c>
      <c r="E9" s="345"/>
      <c r="F9" s="94">
        <v>5</v>
      </c>
      <c r="G9" s="91" t="s">
        <v>21</v>
      </c>
      <c r="H9" s="92" t="s">
        <v>22</v>
      </c>
      <c r="I9" s="92" t="s">
        <v>12</v>
      </c>
      <c r="J9" s="92" t="s">
        <v>12</v>
      </c>
      <c r="K9" s="92" t="s">
        <v>13</v>
      </c>
      <c r="L9" s="370"/>
      <c r="M9" s="110" t="s">
        <v>17</v>
      </c>
      <c r="N9" s="95" t="s">
        <v>74</v>
      </c>
      <c r="P9" s="91" t="s">
        <v>12</v>
      </c>
      <c r="Q9" s="92" t="s">
        <v>12</v>
      </c>
      <c r="R9" s="92" t="s">
        <v>17</v>
      </c>
      <c r="S9" s="95" t="s">
        <v>74</v>
      </c>
      <c r="U9" s="91" t="s">
        <v>12</v>
      </c>
      <c r="V9" s="92" t="s">
        <v>12</v>
      </c>
      <c r="W9" s="92" t="s">
        <v>17</v>
      </c>
      <c r="X9" s="95" t="s">
        <v>74</v>
      </c>
    </row>
    <row r="10" spans="1:31" ht="15.5" x14ac:dyDescent="0.35">
      <c r="A10" s="62">
        <v>1</v>
      </c>
      <c r="B10" s="63">
        <v>232401001</v>
      </c>
      <c r="C10" s="64" t="s">
        <v>76</v>
      </c>
      <c r="D10" s="65" t="s">
        <v>26</v>
      </c>
      <c r="E10" s="66"/>
      <c r="F10" s="67" t="s">
        <v>37</v>
      </c>
      <c r="G10" s="68">
        <v>82</v>
      </c>
      <c r="H10" s="69">
        <f t="shared" ref="H10:H57" si="0">AE10</f>
        <v>32</v>
      </c>
      <c r="I10" s="69">
        <v>48</v>
      </c>
      <c r="J10" s="97">
        <v>97</v>
      </c>
      <c r="K10" s="70">
        <v>83</v>
      </c>
      <c r="L10" s="70">
        <f>AVERAGE(J10:K10)</f>
        <v>90</v>
      </c>
      <c r="M10" s="19">
        <f t="shared" ref="M10:M57" si="1">$N$62+((N10-$N$60)/($N$59-$N$60))*($N$63-$N$62)</f>
        <v>81.173529411764704</v>
      </c>
      <c r="N10" s="72">
        <f>(0.1*G10)+(0.5*H10)+(0.15*I10)+(0.25*L10)</f>
        <v>53.900000000000006</v>
      </c>
      <c r="P10" s="49">
        <f>I10</f>
        <v>48</v>
      </c>
      <c r="Q10" s="98">
        <v>93</v>
      </c>
      <c r="R10" s="19">
        <f t="shared" ref="R10:R57" si="2">$S$62+((S10-$S$60)/($S$59-$S$60))*($S$63-$S$62)</f>
        <v>83.081347576006578</v>
      </c>
      <c r="S10" s="3">
        <f>(0.1*G10)+(0.5*H10)+(0.15*P10)+(0.25*Q10)</f>
        <v>54.650000000000006</v>
      </c>
      <c r="U10" s="49">
        <f>I10</f>
        <v>48</v>
      </c>
      <c r="V10" s="99">
        <v>93</v>
      </c>
      <c r="W10" s="19">
        <f t="shared" ref="W10:W57" si="3">$X$62+((X10-$X$60)/($X$59-$X$60))*($X$63-$X$62)</f>
        <v>83.132832080200501</v>
      </c>
      <c r="X10" s="3">
        <f>(0.1*G10)+(0.5*H10)+(0.15*U10)+(0.25*V10)</f>
        <v>54.650000000000006</v>
      </c>
      <c r="Z10" s="119">
        <v>0</v>
      </c>
      <c r="AA10" s="119">
        <v>80</v>
      </c>
      <c r="AB10" s="119">
        <v>80</v>
      </c>
      <c r="AC10" s="119">
        <v>0</v>
      </c>
      <c r="AD10" s="119">
        <v>0</v>
      </c>
      <c r="AE10">
        <f>AVERAGE(Z10:AD10)</f>
        <v>32</v>
      </c>
    </row>
    <row r="11" spans="1:31" ht="15.5" x14ac:dyDescent="0.35">
      <c r="A11" s="62">
        <v>2</v>
      </c>
      <c r="B11" s="63">
        <v>232401002</v>
      </c>
      <c r="C11" s="64" t="s">
        <v>77</v>
      </c>
      <c r="D11" s="65" t="s">
        <v>26</v>
      </c>
      <c r="E11" s="66"/>
      <c r="F11" s="67" t="s">
        <v>37</v>
      </c>
      <c r="G11" s="68">
        <v>82</v>
      </c>
      <c r="H11" s="69">
        <f t="shared" si="0"/>
        <v>32</v>
      </c>
      <c r="I11" s="121">
        <v>0</v>
      </c>
      <c r="J11" s="97">
        <v>93</v>
      </c>
      <c r="K11" s="118">
        <v>0</v>
      </c>
      <c r="L11" s="70">
        <f t="shared" ref="L11:L57" si="4">AVERAGE(J11:K11)</f>
        <v>46.5</v>
      </c>
      <c r="M11" s="19">
        <f t="shared" si="1"/>
        <v>81.899264705882345</v>
      </c>
      <c r="N11" s="72">
        <f t="shared" ref="N11:N57" si="5">(G11*0.5)+(H11*0.15)+(I11*0.1)+(L11*0.25)</f>
        <v>57.424999999999997</v>
      </c>
      <c r="P11" s="49">
        <f t="shared" ref="P11:P57" si="6">I11</f>
        <v>0</v>
      </c>
      <c r="Q11" s="99">
        <v>89</v>
      </c>
      <c r="R11" s="19">
        <f t="shared" si="2"/>
        <v>82.272801972062453</v>
      </c>
      <c r="S11" s="3">
        <f t="shared" ref="S11:S57" si="7">(0.1*G11)+(0.5*H11)+(0.15*P11)+(0.25*Q11)</f>
        <v>46.45</v>
      </c>
      <c r="U11" s="49">
        <f t="shared" ref="U11:U57" si="8">I11</f>
        <v>0</v>
      </c>
      <c r="V11" s="99">
        <v>93</v>
      </c>
      <c r="W11" s="19">
        <f t="shared" si="3"/>
        <v>82.411027568922307</v>
      </c>
      <c r="X11" s="3">
        <f t="shared" ref="X11:X57" si="9">(0.1*G11)+(0.5*H11)+(0.15*U11)+(0.25*V11)</f>
        <v>47.45</v>
      </c>
      <c r="Z11">
        <v>80</v>
      </c>
      <c r="AA11">
        <v>80</v>
      </c>
      <c r="AB11">
        <v>0</v>
      </c>
      <c r="AC11">
        <v>0</v>
      </c>
      <c r="AD11">
        <v>0</v>
      </c>
      <c r="AE11">
        <f t="shared" ref="AE11:AE57" si="10">AVERAGE(Z11:AD11)</f>
        <v>32</v>
      </c>
    </row>
    <row r="12" spans="1:31" ht="15.5" x14ac:dyDescent="0.35">
      <c r="A12" s="62">
        <v>3</v>
      </c>
      <c r="B12" s="63">
        <v>232401003</v>
      </c>
      <c r="C12" s="64" t="s">
        <v>78</v>
      </c>
      <c r="D12" s="65" t="s">
        <v>26</v>
      </c>
      <c r="E12" s="66"/>
      <c r="F12" s="67" t="s">
        <v>37</v>
      </c>
      <c r="G12" s="68">
        <v>82</v>
      </c>
      <c r="H12" s="69">
        <f t="shared" si="0"/>
        <v>48</v>
      </c>
      <c r="I12" s="69">
        <v>48</v>
      </c>
      <c r="J12" s="97">
        <v>91</v>
      </c>
      <c r="K12" s="70">
        <v>83</v>
      </c>
      <c r="L12" s="70">
        <f t="shared" si="4"/>
        <v>87</v>
      </c>
      <c r="M12" s="19">
        <f t="shared" si="1"/>
        <v>85.466176470588238</v>
      </c>
      <c r="N12" s="72">
        <f t="shared" si="5"/>
        <v>74.75</v>
      </c>
      <c r="P12" s="49">
        <f t="shared" si="6"/>
        <v>48</v>
      </c>
      <c r="Q12" s="98">
        <v>89</v>
      </c>
      <c r="R12" s="19">
        <f t="shared" si="2"/>
        <v>83.771569433032042</v>
      </c>
      <c r="S12" s="3">
        <f t="shared" si="7"/>
        <v>61.650000000000006</v>
      </c>
      <c r="U12" s="49">
        <f t="shared" si="8"/>
        <v>48</v>
      </c>
      <c r="V12" s="98">
        <v>93</v>
      </c>
      <c r="W12" s="19">
        <f t="shared" si="3"/>
        <v>83.934837092731826</v>
      </c>
      <c r="X12" s="3">
        <f t="shared" si="9"/>
        <v>62.650000000000006</v>
      </c>
      <c r="Z12">
        <v>80</v>
      </c>
      <c r="AA12">
        <v>80</v>
      </c>
      <c r="AB12">
        <v>80</v>
      </c>
      <c r="AC12">
        <v>0</v>
      </c>
      <c r="AD12">
        <v>0</v>
      </c>
      <c r="AE12">
        <f t="shared" si="10"/>
        <v>48</v>
      </c>
    </row>
    <row r="13" spans="1:31" ht="15.5" x14ac:dyDescent="0.35">
      <c r="A13" s="62">
        <v>5</v>
      </c>
      <c r="B13" s="63">
        <v>232401005</v>
      </c>
      <c r="C13" s="73" t="s">
        <v>80</v>
      </c>
      <c r="D13" s="65" t="s">
        <v>26</v>
      </c>
      <c r="E13" s="66"/>
      <c r="F13" s="67" t="s">
        <v>37</v>
      </c>
      <c r="G13" s="68">
        <v>82</v>
      </c>
      <c r="H13" s="69">
        <f>AE13</f>
        <v>65</v>
      </c>
      <c r="I13" s="69">
        <v>40</v>
      </c>
      <c r="J13" s="97">
        <v>91</v>
      </c>
      <c r="K13" s="70">
        <v>83</v>
      </c>
      <c r="L13" s="70">
        <f>AVERAGE(J13:K13)</f>
        <v>87</v>
      </c>
      <c r="M13" s="19">
        <f t="shared" si="1"/>
        <v>85.826470588235296</v>
      </c>
      <c r="N13" s="72">
        <f>(G13*0.5)+(H13*0.15)+(I13*0.1)+(L13*0.25)</f>
        <v>76.5</v>
      </c>
      <c r="P13" s="49">
        <f>I13</f>
        <v>40</v>
      </c>
      <c r="Q13" s="99">
        <v>93</v>
      </c>
      <c r="R13" s="19">
        <f t="shared" si="2"/>
        <v>84.589975349219387</v>
      </c>
      <c r="S13" s="3">
        <f>(0.1*G13)+(0.5*H13)+(0.15*P13)+(0.25*Q13)</f>
        <v>69.95</v>
      </c>
      <c r="U13" s="49">
        <f>I13</f>
        <v>40</v>
      </c>
      <c r="V13" s="98">
        <v>75</v>
      </c>
      <c r="W13" s="19">
        <f t="shared" si="3"/>
        <v>84.215538847117799</v>
      </c>
      <c r="X13" s="3">
        <f>(0.1*G13)+(0.5*H13)+(0.15*U13)+(0.25*V13)</f>
        <v>65.45</v>
      </c>
      <c r="Z13">
        <v>80</v>
      </c>
      <c r="AA13">
        <v>80</v>
      </c>
      <c r="AB13">
        <v>80</v>
      </c>
      <c r="AC13">
        <v>85</v>
      </c>
      <c r="AD13">
        <v>0</v>
      </c>
      <c r="AE13">
        <f>AVERAGE(Z13:AD13)</f>
        <v>65</v>
      </c>
    </row>
    <row r="14" spans="1:31" ht="15.5" x14ac:dyDescent="0.35">
      <c r="A14" s="62">
        <v>4</v>
      </c>
      <c r="B14" s="63">
        <v>232401004</v>
      </c>
      <c r="C14" s="64" t="s">
        <v>79</v>
      </c>
      <c r="D14" s="65"/>
      <c r="E14" s="66" t="s">
        <v>26</v>
      </c>
      <c r="F14" s="67" t="s">
        <v>37</v>
      </c>
      <c r="G14" s="68">
        <v>82</v>
      </c>
      <c r="H14" s="69">
        <f t="shared" si="0"/>
        <v>16</v>
      </c>
      <c r="I14" s="69">
        <v>48</v>
      </c>
      <c r="J14" s="97">
        <v>0</v>
      </c>
      <c r="K14" s="118">
        <v>0</v>
      </c>
      <c r="L14" s="70">
        <f t="shared" si="4"/>
        <v>0</v>
      </c>
      <c r="M14" s="19">
        <f t="shared" si="1"/>
        <v>80</v>
      </c>
      <c r="N14" s="72">
        <f t="shared" si="5"/>
        <v>48.2</v>
      </c>
      <c r="P14" s="49">
        <f t="shared" si="6"/>
        <v>48</v>
      </c>
      <c r="Q14" s="98">
        <v>0</v>
      </c>
      <c r="R14" s="19">
        <f t="shared" si="2"/>
        <v>80</v>
      </c>
      <c r="S14" s="3">
        <f t="shared" si="7"/>
        <v>23.400000000000002</v>
      </c>
      <c r="U14" s="49">
        <f t="shared" si="8"/>
        <v>48</v>
      </c>
      <c r="V14" s="98">
        <v>0</v>
      </c>
      <c r="W14" s="19">
        <f t="shared" si="3"/>
        <v>80</v>
      </c>
      <c r="X14" s="3">
        <f t="shared" si="9"/>
        <v>23.400000000000002</v>
      </c>
      <c r="Z14">
        <v>80</v>
      </c>
      <c r="AA14">
        <v>0</v>
      </c>
      <c r="AB14">
        <v>0</v>
      </c>
      <c r="AC14">
        <v>0</v>
      </c>
      <c r="AD14">
        <v>0</v>
      </c>
      <c r="AE14">
        <f t="shared" si="10"/>
        <v>16</v>
      </c>
    </row>
    <row r="15" spans="1:31" ht="15.5" x14ac:dyDescent="0.35">
      <c r="A15" s="62">
        <v>6</v>
      </c>
      <c r="B15" s="63">
        <v>232401006</v>
      </c>
      <c r="C15" s="64" t="s">
        <v>81</v>
      </c>
      <c r="D15" s="65" t="s">
        <v>26</v>
      </c>
      <c r="E15" s="66"/>
      <c r="F15" s="67" t="s">
        <v>37</v>
      </c>
      <c r="G15" s="68">
        <v>82</v>
      </c>
      <c r="H15" s="69">
        <f t="shared" si="0"/>
        <v>64.400000000000006</v>
      </c>
      <c r="I15" s="69">
        <v>52</v>
      </c>
      <c r="J15" s="97">
        <v>95</v>
      </c>
      <c r="K15" s="70">
        <v>83</v>
      </c>
      <c r="L15" s="70">
        <f t="shared" si="4"/>
        <v>89</v>
      </c>
      <c r="M15" s="19">
        <f t="shared" si="1"/>
        <v>86.157941176470587</v>
      </c>
      <c r="N15" s="72">
        <f t="shared" si="5"/>
        <v>78.11</v>
      </c>
      <c r="P15" s="49">
        <f t="shared" si="6"/>
        <v>52</v>
      </c>
      <c r="Q15" s="99">
        <v>93</v>
      </c>
      <c r="R15" s="19">
        <f t="shared" si="2"/>
        <v>84.737880032867707</v>
      </c>
      <c r="S15" s="3">
        <f t="shared" si="7"/>
        <v>71.45</v>
      </c>
      <c r="U15" s="49">
        <f t="shared" si="8"/>
        <v>52</v>
      </c>
      <c r="V15" s="98">
        <v>93</v>
      </c>
      <c r="W15" s="19">
        <f t="shared" si="3"/>
        <v>84.817042606516296</v>
      </c>
      <c r="X15" s="3">
        <f t="shared" si="9"/>
        <v>71.45</v>
      </c>
      <c r="Z15">
        <v>80</v>
      </c>
      <c r="AA15">
        <v>82</v>
      </c>
      <c r="AB15">
        <v>80</v>
      </c>
      <c r="AC15">
        <v>80</v>
      </c>
      <c r="AD15">
        <v>0</v>
      </c>
      <c r="AE15">
        <f t="shared" si="10"/>
        <v>64.400000000000006</v>
      </c>
    </row>
    <row r="16" spans="1:31" ht="15.5" x14ac:dyDescent="0.35">
      <c r="A16" s="62">
        <v>7</v>
      </c>
      <c r="B16" s="63">
        <v>232401007</v>
      </c>
      <c r="C16" s="73" t="s">
        <v>82</v>
      </c>
      <c r="D16" s="65" t="s">
        <v>26</v>
      </c>
      <c r="E16" s="66"/>
      <c r="F16" s="67" t="s">
        <v>37</v>
      </c>
      <c r="G16" s="68">
        <v>82</v>
      </c>
      <c r="H16" s="69">
        <f t="shared" si="0"/>
        <v>49</v>
      </c>
      <c r="I16" s="69">
        <v>56</v>
      </c>
      <c r="J16" s="97">
        <v>93</v>
      </c>
      <c r="K16" s="70">
        <v>83</v>
      </c>
      <c r="L16" s="70">
        <f t="shared" si="4"/>
        <v>88</v>
      </c>
      <c r="M16" s="19">
        <f t="shared" si="1"/>
        <v>85.713235294117652</v>
      </c>
      <c r="N16" s="72">
        <f t="shared" si="5"/>
        <v>75.95</v>
      </c>
      <c r="P16" s="49">
        <f t="shared" si="6"/>
        <v>56</v>
      </c>
      <c r="Q16" s="99">
        <v>87</v>
      </c>
      <c r="R16" s="19">
        <f t="shared" si="2"/>
        <v>83.889893179950704</v>
      </c>
      <c r="S16" s="3">
        <f t="shared" si="7"/>
        <v>62.85</v>
      </c>
      <c r="U16" s="49">
        <f t="shared" si="8"/>
        <v>56</v>
      </c>
      <c r="V16" s="99">
        <v>91</v>
      </c>
      <c r="W16" s="19">
        <f t="shared" si="3"/>
        <v>84.055137844611522</v>
      </c>
      <c r="X16" s="3">
        <f t="shared" si="9"/>
        <v>63.85</v>
      </c>
      <c r="Z16">
        <v>80</v>
      </c>
      <c r="AA16">
        <v>80</v>
      </c>
      <c r="AB16">
        <v>85</v>
      </c>
      <c r="AC16">
        <v>0</v>
      </c>
      <c r="AD16">
        <v>0</v>
      </c>
      <c r="AE16">
        <f t="shared" si="10"/>
        <v>49</v>
      </c>
    </row>
    <row r="17" spans="1:31" ht="15.5" x14ac:dyDescent="0.35">
      <c r="A17" s="62">
        <v>8</v>
      </c>
      <c r="B17" s="63">
        <v>232401008</v>
      </c>
      <c r="C17" s="64" t="s">
        <v>83</v>
      </c>
      <c r="D17" s="65"/>
      <c r="E17" s="66" t="s">
        <v>26</v>
      </c>
      <c r="F17" s="67" t="s">
        <v>37</v>
      </c>
      <c r="G17" s="68">
        <v>82</v>
      </c>
      <c r="H17" s="69">
        <f t="shared" si="0"/>
        <v>16</v>
      </c>
      <c r="I17" s="69">
        <v>40</v>
      </c>
      <c r="J17" s="97">
        <v>97</v>
      </c>
      <c r="K17" s="118">
        <v>0</v>
      </c>
      <c r="L17" s="70">
        <f t="shared" si="4"/>
        <v>48.5</v>
      </c>
      <c r="M17" s="19">
        <f t="shared" si="1"/>
        <v>82.33161764705882</v>
      </c>
      <c r="N17" s="72">
        <f t="shared" si="5"/>
        <v>59.524999999999999</v>
      </c>
      <c r="P17" s="49">
        <f t="shared" si="6"/>
        <v>40</v>
      </c>
      <c r="Q17" s="99">
        <v>91</v>
      </c>
      <c r="R17" s="19">
        <f t="shared" si="2"/>
        <v>82.124897288414132</v>
      </c>
      <c r="S17" s="3">
        <f t="shared" si="7"/>
        <v>44.95</v>
      </c>
      <c r="U17" s="49">
        <f t="shared" si="8"/>
        <v>40</v>
      </c>
      <c r="V17" s="98">
        <v>91</v>
      </c>
      <c r="W17" s="19">
        <f t="shared" si="3"/>
        <v>82.160401002506262</v>
      </c>
      <c r="X17" s="3">
        <f t="shared" si="9"/>
        <v>44.95</v>
      </c>
      <c r="Z17">
        <v>80</v>
      </c>
      <c r="AA17">
        <v>0</v>
      </c>
      <c r="AB17">
        <v>0</v>
      </c>
      <c r="AC17">
        <v>0</v>
      </c>
      <c r="AD17">
        <v>0</v>
      </c>
      <c r="AE17">
        <f t="shared" si="10"/>
        <v>16</v>
      </c>
    </row>
    <row r="18" spans="1:31" ht="15.5" x14ac:dyDescent="0.35">
      <c r="A18" s="62">
        <v>9</v>
      </c>
      <c r="B18" s="63">
        <v>232401009</v>
      </c>
      <c r="C18" s="73" t="s">
        <v>84</v>
      </c>
      <c r="D18" s="65" t="s">
        <v>26</v>
      </c>
      <c r="E18" s="66"/>
      <c r="F18" s="67" t="s">
        <v>37</v>
      </c>
      <c r="G18" s="68">
        <v>82</v>
      </c>
      <c r="H18" s="69">
        <f t="shared" si="0"/>
        <v>32</v>
      </c>
      <c r="I18" s="69">
        <v>56</v>
      </c>
      <c r="J18" s="97">
        <v>97</v>
      </c>
      <c r="K18" s="118">
        <v>0</v>
      </c>
      <c r="L18" s="70">
        <f t="shared" si="4"/>
        <v>48.5</v>
      </c>
      <c r="M18" s="19">
        <f t="shared" si="1"/>
        <v>83.15514705882353</v>
      </c>
      <c r="N18" s="72">
        <f t="shared" si="5"/>
        <v>63.524999999999999</v>
      </c>
      <c r="P18" s="49">
        <f t="shared" si="6"/>
        <v>56</v>
      </c>
      <c r="Q18" s="98">
        <v>91</v>
      </c>
      <c r="R18" s="19">
        <f t="shared" si="2"/>
        <v>83.150369761709115</v>
      </c>
      <c r="S18" s="3">
        <f t="shared" si="7"/>
        <v>55.35</v>
      </c>
      <c r="U18" s="49">
        <f t="shared" si="8"/>
        <v>56</v>
      </c>
      <c r="V18" s="98">
        <v>93</v>
      </c>
      <c r="W18" s="19">
        <f t="shared" si="3"/>
        <v>83.253132832080198</v>
      </c>
      <c r="X18" s="3">
        <f t="shared" si="9"/>
        <v>55.85</v>
      </c>
      <c r="Z18">
        <v>80</v>
      </c>
      <c r="AA18">
        <v>80</v>
      </c>
      <c r="AB18">
        <v>0</v>
      </c>
      <c r="AC18">
        <v>0</v>
      </c>
      <c r="AD18">
        <v>0</v>
      </c>
      <c r="AE18">
        <f t="shared" si="10"/>
        <v>32</v>
      </c>
    </row>
    <row r="19" spans="1:31" ht="15.5" x14ac:dyDescent="0.35">
      <c r="A19" s="62">
        <v>10</v>
      </c>
      <c r="B19" s="63">
        <v>232401011</v>
      </c>
      <c r="C19" s="73" t="s">
        <v>85</v>
      </c>
      <c r="D19" s="65" t="s">
        <v>26</v>
      </c>
      <c r="E19" s="66"/>
      <c r="F19" s="67" t="s">
        <v>37</v>
      </c>
      <c r="G19" s="68">
        <v>82</v>
      </c>
      <c r="H19" s="69">
        <f t="shared" si="0"/>
        <v>64</v>
      </c>
      <c r="I19" s="69">
        <v>60</v>
      </c>
      <c r="J19" s="97">
        <v>95</v>
      </c>
      <c r="K19" s="70">
        <v>83</v>
      </c>
      <c r="L19" s="70">
        <f t="shared" si="4"/>
        <v>89</v>
      </c>
      <c r="M19" s="19">
        <f t="shared" si="1"/>
        <v>86.310294117647061</v>
      </c>
      <c r="N19" s="72">
        <f t="shared" si="5"/>
        <v>78.849999999999994</v>
      </c>
      <c r="P19" s="49">
        <f t="shared" si="6"/>
        <v>60</v>
      </c>
      <c r="Q19" s="98">
        <v>91</v>
      </c>
      <c r="R19" s="19">
        <f t="shared" si="2"/>
        <v>84.787181594083819</v>
      </c>
      <c r="S19" s="3">
        <f t="shared" si="7"/>
        <v>71.95</v>
      </c>
      <c r="U19" s="49">
        <f t="shared" si="8"/>
        <v>60</v>
      </c>
      <c r="V19" s="98">
        <v>93</v>
      </c>
      <c r="W19" s="19">
        <f t="shared" si="3"/>
        <v>84.917293233082702</v>
      </c>
      <c r="X19" s="3">
        <f t="shared" si="9"/>
        <v>72.45</v>
      </c>
      <c r="Z19">
        <v>80</v>
      </c>
      <c r="AA19">
        <v>80</v>
      </c>
      <c r="AB19">
        <v>80</v>
      </c>
      <c r="AC19">
        <v>80</v>
      </c>
      <c r="AD19">
        <v>0</v>
      </c>
      <c r="AE19">
        <f t="shared" si="10"/>
        <v>64</v>
      </c>
    </row>
    <row r="20" spans="1:31" ht="15.5" x14ac:dyDescent="0.35">
      <c r="A20" s="62">
        <v>11</v>
      </c>
      <c r="B20" s="63">
        <v>232401012</v>
      </c>
      <c r="C20" s="73" t="s">
        <v>86</v>
      </c>
      <c r="D20" s="65"/>
      <c r="E20" s="66" t="s">
        <v>26</v>
      </c>
      <c r="F20" s="67" t="s">
        <v>37</v>
      </c>
      <c r="G20" s="68">
        <v>82</v>
      </c>
      <c r="H20" s="69">
        <f t="shared" si="0"/>
        <v>48.4</v>
      </c>
      <c r="I20" s="69">
        <v>68</v>
      </c>
      <c r="J20" s="120">
        <v>0</v>
      </c>
      <c r="K20" s="70">
        <v>83</v>
      </c>
      <c r="L20" s="70">
        <f t="shared" si="4"/>
        <v>41.5</v>
      </c>
      <c r="M20" s="19">
        <f t="shared" si="1"/>
        <v>83.548382352941175</v>
      </c>
      <c r="N20" s="72">
        <f t="shared" si="5"/>
        <v>65.435000000000002</v>
      </c>
      <c r="P20" s="49">
        <f t="shared" si="6"/>
        <v>68</v>
      </c>
      <c r="Q20" s="99">
        <v>93</v>
      </c>
      <c r="R20" s="19">
        <f t="shared" si="2"/>
        <v>84.185702547247331</v>
      </c>
      <c r="S20" s="3">
        <f t="shared" si="7"/>
        <v>65.849999999999994</v>
      </c>
      <c r="U20" s="49">
        <f t="shared" si="8"/>
        <v>68</v>
      </c>
      <c r="V20" s="99">
        <v>93</v>
      </c>
      <c r="W20" s="19">
        <f t="shared" si="3"/>
        <v>84.255639097744364</v>
      </c>
      <c r="X20" s="3">
        <f t="shared" si="9"/>
        <v>65.849999999999994</v>
      </c>
      <c r="Z20">
        <v>80</v>
      </c>
      <c r="AA20">
        <v>82</v>
      </c>
      <c r="AB20">
        <v>80</v>
      </c>
      <c r="AC20">
        <v>0</v>
      </c>
      <c r="AD20">
        <v>0</v>
      </c>
      <c r="AE20">
        <f t="shared" si="10"/>
        <v>48.4</v>
      </c>
    </row>
    <row r="21" spans="1:31" ht="15.5" x14ac:dyDescent="0.35">
      <c r="A21" s="62">
        <v>18</v>
      </c>
      <c r="B21" s="63">
        <v>232401019</v>
      </c>
      <c r="C21" s="64" t="s">
        <v>93</v>
      </c>
      <c r="D21" s="65"/>
      <c r="E21" s="66" t="s">
        <v>26</v>
      </c>
      <c r="F21" s="67" t="s">
        <v>37</v>
      </c>
      <c r="G21" s="68">
        <v>82</v>
      </c>
      <c r="H21" s="69">
        <f>AE21</f>
        <v>64</v>
      </c>
      <c r="I21" s="69">
        <v>28</v>
      </c>
      <c r="J21" s="97">
        <v>95</v>
      </c>
      <c r="K21" s="70">
        <v>83</v>
      </c>
      <c r="L21" s="70">
        <f>AVERAGE(J21:K21)</f>
        <v>89</v>
      </c>
      <c r="M21" s="19">
        <f t="shared" si="1"/>
        <v>85.651470588235298</v>
      </c>
      <c r="N21" s="72">
        <f>(G21*0.5)+(H21*0.15)+(I21*0.1)+(L21*0.25)</f>
        <v>75.650000000000006</v>
      </c>
      <c r="P21" s="49">
        <f>I21</f>
        <v>28</v>
      </c>
      <c r="Q21" s="99">
        <v>91</v>
      </c>
      <c r="R21" s="19">
        <f t="shared" si="2"/>
        <v>84.313886606409199</v>
      </c>
      <c r="S21" s="3">
        <f>(0.1*G21)+(0.5*H21)+(0.15*P21)+(0.25*Q21)</f>
        <v>67.150000000000006</v>
      </c>
      <c r="U21" s="49">
        <f>I21</f>
        <v>28</v>
      </c>
      <c r="V21" s="99">
        <v>91</v>
      </c>
      <c r="W21" s="19">
        <f t="shared" si="3"/>
        <v>84.385964912280699</v>
      </c>
      <c r="X21" s="3">
        <f>(0.1*G21)+(0.5*H21)+(0.15*U21)+(0.25*V21)</f>
        <v>67.150000000000006</v>
      </c>
      <c r="Z21">
        <v>80</v>
      </c>
      <c r="AA21">
        <v>80</v>
      </c>
      <c r="AB21">
        <v>80</v>
      </c>
      <c r="AC21">
        <v>80</v>
      </c>
      <c r="AD21">
        <v>0</v>
      </c>
      <c r="AE21">
        <f>AVERAGE(Z21:AD21)</f>
        <v>64</v>
      </c>
    </row>
    <row r="22" spans="1:31" ht="15.5" x14ac:dyDescent="0.35">
      <c r="A22" s="62">
        <v>12</v>
      </c>
      <c r="B22" s="63">
        <v>232401013</v>
      </c>
      <c r="C22" s="73" t="s">
        <v>87</v>
      </c>
      <c r="D22" s="65" t="s">
        <v>26</v>
      </c>
      <c r="E22" s="66"/>
      <c r="F22" s="67" t="s">
        <v>37</v>
      </c>
      <c r="G22" s="68">
        <v>82</v>
      </c>
      <c r="H22" s="69">
        <f t="shared" si="0"/>
        <v>32</v>
      </c>
      <c r="I22" s="69">
        <v>68</v>
      </c>
      <c r="J22" s="97">
        <v>95</v>
      </c>
      <c r="K22" s="70">
        <v>83</v>
      </c>
      <c r="L22" s="70">
        <f t="shared" si="4"/>
        <v>89</v>
      </c>
      <c r="M22" s="19">
        <f t="shared" si="1"/>
        <v>85.486764705882351</v>
      </c>
      <c r="N22" s="72">
        <f t="shared" si="5"/>
        <v>74.849999999999994</v>
      </c>
      <c r="P22" s="49">
        <f t="shared" si="6"/>
        <v>68</v>
      </c>
      <c r="Q22" s="98">
        <v>93</v>
      </c>
      <c r="R22" s="19">
        <f t="shared" si="2"/>
        <v>83.377156943303206</v>
      </c>
      <c r="S22" s="3">
        <f t="shared" si="7"/>
        <v>57.650000000000006</v>
      </c>
      <c r="U22" s="49">
        <f t="shared" si="8"/>
        <v>68</v>
      </c>
      <c r="V22" s="99">
        <v>93</v>
      </c>
      <c r="W22" s="19">
        <f t="shared" si="3"/>
        <v>83.43358395989975</v>
      </c>
      <c r="X22" s="3">
        <f t="shared" si="9"/>
        <v>57.650000000000006</v>
      </c>
      <c r="Z22">
        <v>80</v>
      </c>
      <c r="AA22">
        <v>80</v>
      </c>
      <c r="AB22">
        <v>0</v>
      </c>
      <c r="AC22">
        <v>0</v>
      </c>
      <c r="AD22">
        <v>0</v>
      </c>
      <c r="AE22">
        <f t="shared" si="10"/>
        <v>32</v>
      </c>
    </row>
    <row r="23" spans="1:31" ht="15.5" x14ac:dyDescent="0.35">
      <c r="A23" s="62">
        <v>13</v>
      </c>
      <c r="B23" s="63">
        <v>232401014</v>
      </c>
      <c r="C23" s="64" t="s">
        <v>88</v>
      </c>
      <c r="D23" s="65" t="s">
        <v>26</v>
      </c>
      <c r="E23" s="66"/>
      <c r="F23" s="67" t="s">
        <v>37</v>
      </c>
      <c r="G23" s="68">
        <v>82</v>
      </c>
      <c r="H23" s="69">
        <f t="shared" si="0"/>
        <v>81.400000000000006</v>
      </c>
      <c r="I23" s="69">
        <v>56</v>
      </c>
      <c r="J23" s="97">
        <v>97</v>
      </c>
      <c r="K23" s="70">
        <v>83</v>
      </c>
      <c r="L23" s="70">
        <f t="shared" si="4"/>
        <v>90</v>
      </c>
      <c r="M23" s="19">
        <f t="shared" si="1"/>
        <v>86.816764705882349</v>
      </c>
      <c r="N23" s="72">
        <f t="shared" si="5"/>
        <v>81.31</v>
      </c>
      <c r="P23" s="49">
        <f t="shared" si="6"/>
        <v>56</v>
      </c>
      <c r="Q23" s="98">
        <v>91</v>
      </c>
      <c r="R23" s="19">
        <f t="shared" si="2"/>
        <v>85.585866885784725</v>
      </c>
      <c r="S23" s="3">
        <f t="shared" si="7"/>
        <v>80.050000000000011</v>
      </c>
      <c r="U23" s="49">
        <f t="shared" si="8"/>
        <v>56</v>
      </c>
      <c r="V23" s="98">
        <v>91</v>
      </c>
      <c r="W23" s="19">
        <f t="shared" si="3"/>
        <v>85.679197994987476</v>
      </c>
      <c r="X23" s="3">
        <f t="shared" si="9"/>
        <v>80.050000000000011</v>
      </c>
      <c r="Z23">
        <v>80</v>
      </c>
      <c r="AA23">
        <v>82</v>
      </c>
      <c r="AB23">
        <v>80</v>
      </c>
      <c r="AC23">
        <v>80</v>
      </c>
      <c r="AD23">
        <v>85</v>
      </c>
      <c r="AE23">
        <f t="shared" si="10"/>
        <v>81.400000000000006</v>
      </c>
    </row>
    <row r="24" spans="1:31" ht="15.5" x14ac:dyDescent="0.35">
      <c r="A24" s="62">
        <v>14</v>
      </c>
      <c r="B24" s="63">
        <v>232401015</v>
      </c>
      <c r="C24" s="73" t="s">
        <v>89</v>
      </c>
      <c r="D24" s="65" t="s">
        <v>26</v>
      </c>
      <c r="E24" s="66"/>
      <c r="F24" s="67" t="s">
        <v>37</v>
      </c>
      <c r="G24" s="68">
        <v>82</v>
      </c>
      <c r="H24" s="69">
        <f t="shared" si="0"/>
        <v>80.400000000000006</v>
      </c>
      <c r="I24" s="69">
        <v>56</v>
      </c>
      <c r="J24" s="97">
        <v>97</v>
      </c>
      <c r="K24" s="118">
        <v>0</v>
      </c>
      <c r="L24" s="70">
        <f t="shared" si="4"/>
        <v>48.5</v>
      </c>
      <c r="M24" s="19">
        <f t="shared" si="1"/>
        <v>84.649852941176476</v>
      </c>
      <c r="N24" s="72">
        <f t="shared" si="5"/>
        <v>70.784999999999997</v>
      </c>
      <c r="P24" s="49">
        <f t="shared" si="6"/>
        <v>56</v>
      </c>
      <c r="Q24" s="98">
        <v>91</v>
      </c>
      <c r="R24" s="19">
        <f t="shared" si="2"/>
        <v>85.536565324568613</v>
      </c>
      <c r="S24" s="3">
        <f t="shared" si="7"/>
        <v>79.550000000000011</v>
      </c>
      <c r="U24" s="49">
        <f t="shared" si="8"/>
        <v>56</v>
      </c>
      <c r="V24" s="98">
        <v>93</v>
      </c>
      <c r="W24" s="19">
        <f t="shared" si="3"/>
        <v>85.679197994987476</v>
      </c>
      <c r="X24" s="3">
        <f t="shared" si="9"/>
        <v>80.050000000000011</v>
      </c>
      <c r="Z24">
        <v>80</v>
      </c>
      <c r="AA24">
        <v>82</v>
      </c>
      <c r="AB24">
        <v>80</v>
      </c>
      <c r="AC24">
        <v>80</v>
      </c>
      <c r="AD24">
        <v>80</v>
      </c>
      <c r="AE24">
        <f t="shared" si="10"/>
        <v>80.400000000000006</v>
      </c>
    </row>
    <row r="25" spans="1:31" ht="15.5" x14ac:dyDescent="0.35">
      <c r="A25" s="62">
        <v>15</v>
      </c>
      <c r="B25" s="63">
        <v>232401016</v>
      </c>
      <c r="C25" s="73" t="s">
        <v>90</v>
      </c>
      <c r="D25" s="65" t="s">
        <v>26</v>
      </c>
      <c r="E25" s="66"/>
      <c r="F25" s="67" t="s">
        <v>37</v>
      </c>
      <c r="G25" s="68">
        <v>82</v>
      </c>
      <c r="H25" s="69">
        <f t="shared" si="0"/>
        <v>64</v>
      </c>
      <c r="I25" s="69">
        <v>36</v>
      </c>
      <c r="J25" s="97">
        <v>93</v>
      </c>
      <c r="K25" s="118">
        <v>0</v>
      </c>
      <c r="L25" s="70">
        <f t="shared" si="4"/>
        <v>46.5</v>
      </c>
      <c r="M25" s="19">
        <f t="shared" si="1"/>
        <v>83.628676470588232</v>
      </c>
      <c r="N25" s="72">
        <f t="shared" si="5"/>
        <v>65.825000000000003</v>
      </c>
      <c r="P25" s="49">
        <f t="shared" si="6"/>
        <v>36</v>
      </c>
      <c r="Q25" s="98">
        <v>87</v>
      </c>
      <c r="R25" s="19">
        <f t="shared" si="2"/>
        <v>84.333607230895637</v>
      </c>
      <c r="S25" s="3">
        <f t="shared" si="7"/>
        <v>67.349999999999994</v>
      </c>
      <c r="U25" s="49">
        <f t="shared" si="8"/>
        <v>36</v>
      </c>
      <c r="V25" s="99">
        <v>73</v>
      </c>
      <c r="W25" s="19">
        <f t="shared" si="3"/>
        <v>84.055137844611522</v>
      </c>
      <c r="X25" s="3">
        <f t="shared" si="9"/>
        <v>63.85</v>
      </c>
      <c r="Z25">
        <v>80</v>
      </c>
      <c r="AA25">
        <v>80</v>
      </c>
      <c r="AB25">
        <v>80</v>
      </c>
      <c r="AC25">
        <v>80</v>
      </c>
      <c r="AD25">
        <v>0</v>
      </c>
      <c r="AE25">
        <f t="shared" si="10"/>
        <v>64</v>
      </c>
    </row>
    <row r="26" spans="1:31" ht="15.5" x14ac:dyDescent="0.35">
      <c r="A26" s="62">
        <v>16</v>
      </c>
      <c r="B26" s="63">
        <v>232401017</v>
      </c>
      <c r="C26" s="73" t="s">
        <v>91</v>
      </c>
      <c r="D26" s="65"/>
      <c r="E26" s="66" t="s">
        <v>26</v>
      </c>
      <c r="F26" s="67" t="s">
        <v>37</v>
      </c>
      <c r="G26" s="68">
        <v>82</v>
      </c>
      <c r="H26" s="69">
        <f t="shared" si="0"/>
        <v>48</v>
      </c>
      <c r="I26" s="69">
        <v>36</v>
      </c>
      <c r="J26" s="120">
        <v>0</v>
      </c>
      <c r="K26" s="118">
        <v>0</v>
      </c>
      <c r="L26" s="70">
        <f t="shared" si="4"/>
        <v>0</v>
      </c>
      <c r="M26" s="19">
        <f t="shared" si="1"/>
        <v>80.741176470588229</v>
      </c>
      <c r="N26" s="72">
        <f t="shared" si="5"/>
        <v>51.800000000000004</v>
      </c>
      <c r="P26" s="49">
        <f t="shared" si="6"/>
        <v>36</v>
      </c>
      <c r="Q26" s="98">
        <v>87</v>
      </c>
      <c r="R26" s="19">
        <f t="shared" si="2"/>
        <v>83.544782251437965</v>
      </c>
      <c r="S26" s="3">
        <f t="shared" si="7"/>
        <v>59.35</v>
      </c>
      <c r="U26" s="49">
        <f t="shared" si="8"/>
        <v>36</v>
      </c>
      <c r="V26" s="99">
        <v>93</v>
      </c>
      <c r="W26" s="19">
        <f t="shared" si="3"/>
        <v>83.754385964912288</v>
      </c>
      <c r="X26" s="3">
        <f t="shared" si="9"/>
        <v>60.85</v>
      </c>
      <c r="Z26">
        <v>80</v>
      </c>
      <c r="AA26">
        <v>80</v>
      </c>
      <c r="AB26">
        <v>80</v>
      </c>
      <c r="AC26">
        <v>0</v>
      </c>
      <c r="AD26">
        <v>0</v>
      </c>
      <c r="AE26">
        <f t="shared" si="10"/>
        <v>48</v>
      </c>
    </row>
    <row r="27" spans="1:31" ht="15.5" x14ac:dyDescent="0.35">
      <c r="A27" s="62">
        <v>17</v>
      </c>
      <c r="B27" s="63">
        <v>232401018</v>
      </c>
      <c r="C27" s="73" t="s">
        <v>92</v>
      </c>
      <c r="D27" s="65"/>
      <c r="E27" s="66" t="s">
        <v>26</v>
      </c>
      <c r="F27" s="67" t="s">
        <v>37</v>
      </c>
      <c r="G27" s="68">
        <v>82</v>
      </c>
      <c r="H27" s="69">
        <f t="shared" si="0"/>
        <v>32</v>
      </c>
      <c r="I27" s="69">
        <v>52</v>
      </c>
      <c r="J27" s="97">
        <v>95</v>
      </c>
      <c r="K27" s="118">
        <v>0</v>
      </c>
      <c r="L27" s="70">
        <f t="shared" si="4"/>
        <v>47.5</v>
      </c>
      <c r="M27" s="19">
        <f t="shared" si="1"/>
        <v>83.02132352941176</v>
      </c>
      <c r="N27" s="72">
        <f t="shared" si="5"/>
        <v>62.875</v>
      </c>
      <c r="P27" s="49">
        <f t="shared" si="6"/>
        <v>52</v>
      </c>
      <c r="Q27" s="99">
        <v>87</v>
      </c>
      <c r="R27" s="19">
        <f t="shared" si="2"/>
        <v>82.992604765817589</v>
      </c>
      <c r="S27" s="3">
        <f t="shared" si="7"/>
        <v>53.75</v>
      </c>
      <c r="U27" s="49">
        <f t="shared" si="8"/>
        <v>52</v>
      </c>
      <c r="V27" s="98">
        <v>91</v>
      </c>
      <c r="W27" s="19">
        <f t="shared" si="3"/>
        <v>83.142857142857139</v>
      </c>
      <c r="X27" s="3">
        <f t="shared" si="9"/>
        <v>54.75</v>
      </c>
      <c r="Z27">
        <v>80</v>
      </c>
      <c r="AA27">
        <v>80</v>
      </c>
      <c r="AB27">
        <v>0</v>
      </c>
      <c r="AC27">
        <v>0</v>
      </c>
      <c r="AD27">
        <v>0</v>
      </c>
      <c r="AE27">
        <f t="shared" si="10"/>
        <v>32</v>
      </c>
    </row>
    <row r="28" spans="1:31" ht="15.5" x14ac:dyDescent="0.35">
      <c r="A28" s="62">
        <v>19</v>
      </c>
      <c r="B28" s="63">
        <v>232401020</v>
      </c>
      <c r="C28" s="64" t="s">
        <v>94</v>
      </c>
      <c r="D28" s="65" t="s">
        <v>26</v>
      </c>
      <c r="E28" s="66"/>
      <c r="F28" s="67" t="s">
        <v>37</v>
      </c>
      <c r="G28" s="68">
        <v>82</v>
      </c>
      <c r="H28" s="69">
        <f t="shared" si="0"/>
        <v>32</v>
      </c>
      <c r="I28" s="69">
        <v>36</v>
      </c>
      <c r="J28" s="97">
        <v>97</v>
      </c>
      <c r="K28" s="70">
        <v>83</v>
      </c>
      <c r="L28" s="70">
        <f t="shared" si="4"/>
        <v>90</v>
      </c>
      <c r="M28" s="19">
        <f t="shared" si="1"/>
        <v>84.879411764705878</v>
      </c>
      <c r="N28" s="72">
        <f t="shared" si="5"/>
        <v>71.900000000000006</v>
      </c>
      <c r="P28" s="49">
        <f t="shared" si="6"/>
        <v>36</v>
      </c>
      <c r="Q28" s="99">
        <v>91</v>
      </c>
      <c r="R28" s="19">
        <f t="shared" si="2"/>
        <v>82.854560394412488</v>
      </c>
      <c r="S28" s="3">
        <f t="shared" si="7"/>
        <v>52.35</v>
      </c>
      <c r="U28" s="49">
        <f t="shared" si="8"/>
        <v>36</v>
      </c>
      <c r="V28" s="99">
        <v>89</v>
      </c>
      <c r="W28" s="19">
        <f t="shared" si="3"/>
        <v>82.852130325814542</v>
      </c>
      <c r="X28" s="3">
        <f t="shared" si="9"/>
        <v>51.85</v>
      </c>
      <c r="Z28">
        <v>80</v>
      </c>
      <c r="AA28">
        <v>80</v>
      </c>
      <c r="AB28">
        <v>0</v>
      </c>
      <c r="AC28">
        <v>0</v>
      </c>
      <c r="AD28">
        <v>0</v>
      </c>
      <c r="AE28">
        <f t="shared" si="10"/>
        <v>32</v>
      </c>
    </row>
    <row r="29" spans="1:31" ht="15.5" x14ac:dyDescent="0.35">
      <c r="A29" s="62">
        <v>20</v>
      </c>
      <c r="B29" s="63">
        <v>232401021</v>
      </c>
      <c r="C29" s="74" t="s">
        <v>95</v>
      </c>
      <c r="D29" s="65" t="s">
        <v>26</v>
      </c>
      <c r="E29" s="66"/>
      <c r="F29" s="75" t="s">
        <v>72</v>
      </c>
      <c r="G29" s="68">
        <v>82</v>
      </c>
      <c r="H29" s="69">
        <f t="shared" si="0"/>
        <v>81</v>
      </c>
      <c r="I29" s="69">
        <v>82</v>
      </c>
      <c r="J29" s="97">
        <v>93</v>
      </c>
      <c r="K29" s="118">
        <v>0</v>
      </c>
      <c r="L29" s="70">
        <f t="shared" si="4"/>
        <v>46.5</v>
      </c>
      <c r="M29" s="19">
        <f t="shared" si="1"/>
        <v>85.100735294117641</v>
      </c>
      <c r="N29" s="72">
        <f t="shared" si="5"/>
        <v>72.974999999999994</v>
      </c>
      <c r="P29" s="49">
        <f t="shared" si="6"/>
        <v>82</v>
      </c>
      <c r="Q29" s="97">
        <v>93</v>
      </c>
      <c r="R29" s="19">
        <f t="shared" si="2"/>
        <v>86</v>
      </c>
      <c r="S29" s="3">
        <f t="shared" si="7"/>
        <v>84.25</v>
      </c>
      <c r="U29" s="49">
        <f t="shared" si="8"/>
        <v>82</v>
      </c>
      <c r="V29" s="99">
        <v>89</v>
      </c>
      <c r="W29" s="19">
        <f t="shared" si="3"/>
        <v>86</v>
      </c>
      <c r="X29" s="3">
        <f t="shared" si="9"/>
        <v>83.25</v>
      </c>
      <c r="Z29">
        <v>80</v>
      </c>
      <c r="AA29">
        <v>80</v>
      </c>
      <c r="AB29">
        <v>80</v>
      </c>
      <c r="AC29">
        <v>80</v>
      </c>
      <c r="AD29">
        <v>85</v>
      </c>
      <c r="AE29">
        <f t="shared" si="10"/>
        <v>81</v>
      </c>
    </row>
    <row r="30" spans="1:31" ht="15.5" x14ac:dyDescent="0.35">
      <c r="A30" s="62">
        <v>21</v>
      </c>
      <c r="B30" s="63">
        <v>232401022</v>
      </c>
      <c r="C30" s="74" t="s">
        <v>96</v>
      </c>
      <c r="D30" s="65" t="s">
        <v>26</v>
      </c>
      <c r="E30" s="66"/>
      <c r="F30" s="75" t="s">
        <v>72</v>
      </c>
      <c r="G30" s="68">
        <v>81</v>
      </c>
      <c r="H30" s="69">
        <f t="shared" si="0"/>
        <v>81</v>
      </c>
      <c r="I30" s="69">
        <v>62</v>
      </c>
      <c r="J30" s="97">
        <v>95</v>
      </c>
      <c r="K30" s="70">
        <v>83</v>
      </c>
      <c r="L30" s="70">
        <f t="shared" si="4"/>
        <v>89</v>
      </c>
      <c r="M30" s="19">
        <f t="shared" si="1"/>
        <v>86.773529411764699</v>
      </c>
      <c r="N30" s="72">
        <f t="shared" si="5"/>
        <v>81.099999999999994</v>
      </c>
      <c r="P30" s="49">
        <f t="shared" si="6"/>
        <v>62</v>
      </c>
      <c r="Q30" s="97">
        <v>93</v>
      </c>
      <c r="R30" s="19">
        <f t="shared" si="2"/>
        <v>85.694330320460153</v>
      </c>
      <c r="S30" s="3">
        <f t="shared" si="7"/>
        <v>81.150000000000006</v>
      </c>
      <c r="U30" s="49">
        <f t="shared" si="8"/>
        <v>62</v>
      </c>
      <c r="V30" s="99">
        <v>93</v>
      </c>
      <c r="W30" s="19">
        <f t="shared" si="3"/>
        <v>85.78947368421052</v>
      </c>
      <c r="X30" s="3">
        <f t="shared" si="9"/>
        <v>81.150000000000006</v>
      </c>
      <c r="Z30">
        <v>80</v>
      </c>
      <c r="AA30">
        <v>80</v>
      </c>
      <c r="AB30">
        <v>80</v>
      </c>
      <c r="AC30">
        <v>80</v>
      </c>
      <c r="AD30">
        <v>85</v>
      </c>
      <c r="AE30">
        <f t="shared" si="10"/>
        <v>81</v>
      </c>
    </row>
    <row r="31" spans="1:31" ht="15.5" x14ac:dyDescent="0.35">
      <c r="A31" s="62">
        <v>26</v>
      </c>
      <c r="B31" s="63">
        <v>232401027</v>
      </c>
      <c r="C31" s="74" t="s">
        <v>101</v>
      </c>
      <c r="D31" s="65" t="s">
        <v>26</v>
      </c>
      <c r="E31" s="66"/>
      <c r="F31" s="75" t="s">
        <v>72</v>
      </c>
      <c r="G31" s="68">
        <v>80</v>
      </c>
      <c r="H31" s="69">
        <f>AE31</f>
        <v>81</v>
      </c>
      <c r="I31" s="69">
        <v>64</v>
      </c>
      <c r="J31" s="97">
        <v>93</v>
      </c>
      <c r="K31" s="70">
        <v>83</v>
      </c>
      <c r="L31" s="70">
        <f>AVERAGE(J31:K31)</f>
        <v>88</v>
      </c>
      <c r="M31" s="19">
        <f t="shared" si="1"/>
        <v>86.660294117647055</v>
      </c>
      <c r="N31" s="72">
        <f>(G31*0.5)+(H31*0.15)+(I31*0.1)+(L31*0.25)</f>
        <v>80.55</v>
      </c>
      <c r="P31" s="49">
        <f>I31</f>
        <v>64</v>
      </c>
      <c r="Q31" s="97">
        <v>87</v>
      </c>
      <c r="R31" s="19">
        <f t="shared" si="2"/>
        <v>85.566146261298272</v>
      </c>
      <c r="S31" s="3">
        <f>(0.1*G31)+(0.5*H31)+(0.15*P31)+(0.25*Q31)</f>
        <v>79.849999999999994</v>
      </c>
      <c r="U31" s="49">
        <f>I31</f>
        <v>64</v>
      </c>
      <c r="V31" s="98">
        <v>87</v>
      </c>
      <c r="W31" s="19">
        <f t="shared" si="3"/>
        <v>85.659147869674186</v>
      </c>
      <c r="X31" s="3">
        <f>(0.1*G31)+(0.5*H31)+(0.15*U31)+(0.25*V31)</f>
        <v>79.849999999999994</v>
      </c>
      <c r="Z31">
        <v>80</v>
      </c>
      <c r="AA31">
        <v>80</v>
      </c>
      <c r="AB31">
        <v>80</v>
      </c>
      <c r="AC31">
        <v>80</v>
      </c>
      <c r="AD31">
        <v>85</v>
      </c>
      <c r="AE31">
        <f>AVERAGE(Z31:AD31)</f>
        <v>81</v>
      </c>
    </row>
    <row r="32" spans="1:31" ht="15.5" x14ac:dyDescent="0.35">
      <c r="A32" s="62">
        <v>22</v>
      </c>
      <c r="B32" s="63">
        <v>232401023</v>
      </c>
      <c r="C32" s="74" t="s">
        <v>97</v>
      </c>
      <c r="D32" s="65" t="s">
        <v>26</v>
      </c>
      <c r="E32" s="66"/>
      <c r="F32" s="75" t="s">
        <v>72</v>
      </c>
      <c r="G32" s="68">
        <v>82</v>
      </c>
      <c r="H32" s="69">
        <f t="shared" si="0"/>
        <v>81</v>
      </c>
      <c r="I32" s="121">
        <v>0</v>
      </c>
      <c r="J32" s="97">
        <v>87</v>
      </c>
      <c r="K32" s="118">
        <v>0</v>
      </c>
      <c r="L32" s="70">
        <f t="shared" si="4"/>
        <v>43.5</v>
      </c>
      <c r="M32" s="19">
        <f t="shared" si="1"/>
        <v>83.258088235294125</v>
      </c>
      <c r="N32" s="72">
        <f t="shared" si="5"/>
        <v>64.025000000000006</v>
      </c>
      <c r="P32" s="49">
        <f t="shared" si="6"/>
        <v>0</v>
      </c>
      <c r="Q32" s="97">
        <v>93</v>
      </c>
      <c r="R32" s="19">
        <f t="shared" si="2"/>
        <v>84.787181594083819</v>
      </c>
      <c r="S32" s="3">
        <f t="shared" si="7"/>
        <v>71.95</v>
      </c>
      <c r="U32" s="49">
        <f t="shared" si="8"/>
        <v>0</v>
      </c>
      <c r="V32" s="98">
        <v>93</v>
      </c>
      <c r="W32" s="19">
        <f t="shared" si="3"/>
        <v>84.867167919799499</v>
      </c>
      <c r="X32" s="3">
        <f t="shared" si="9"/>
        <v>71.95</v>
      </c>
      <c r="Z32">
        <v>80</v>
      </c>
      <c r="AA32">
        <v>80</v>
      </c>
      <c r="AB32">
        <v>80</v>
      </c>
      <c r="AC32">
        <v>80</v>
      </c>
      <c r="AD32">
        <v>85</v>
      </c>
      <c r="AE32">
        <f t="shared" si="10"/>
        <v>81</v>
      </c>
    </row>
    <row r="33" spans="1:31" ht="15.5" x14ac:dyDescent="0.35">
      <c r="A33" s="62">
        <v>23</v>
      </c>
      <c r="B33" s="63">
        <v>232401024</v>
      </c>
      <c r="C33" s="74" t="s">
        <v>98</v>
      </c>
      <c r="D33" s="65" t="s">
        <v>26</v>
      </c>
      <c r="E33" s="66"/>
      <c r="F33" s="75" t="s">
        <v>72</v>
      </c>
      <c r="G33" s="68">
        <v>82</v>
      </c>
      <c r="H33" s="69">
        <f t="shared" si="0"/>
        <v>81</v>
      </c>
      <c r="I33" s="69">
        <v>64</v>
      </c>
      <c r="J33" s="97">
        <v>87</v>
      </c>
      <c r="K33" s="70">
        <v>83</v>
      </c>
      <c r="L33" s="70">
        <f t="shared" si="4"/>
        <v>85</v>
      </c>
      <c r="M33" s="19">
        <f t="shared" si="1"/>
        <v>86.711764705882345</v>
      </c>
      <c r="N33" s="72">
        <f t="shared" si="5"/>
        <v>80.8</v>
      </c>
      <c r="P33" s="49">
        <f t="shared" si="6"/>
        <v>64</v>
      </c>
      <c r="Q33" s="97">
        <v>93</v>
      </c>
      <c r="R33" s="19">
        <f t="shared" si="2"/>
        <v>85.733771569433031</v>
      </c>
      <c r="S33" s="3">
        <f t="shared" si="7"/>
        <v>81.550000000000011</v>
      </c>
      <c r="U33" s="49">
        <f t="shared" si="8"/>
        <v>64</v>
      </c>
      <c r="V33" s="98">
        <v>93</v>
      </c>
      <c r="W33" s="19">
        <f t="shared" si="3"/>
        <v>85.8295739348371</v>
      </c>
      <c r="X33" s="3">
        <f t="shared" si="9"/>
        <v>81.550000000000011</v>
      </c>
      <c r="Z33">
        <v>80</v>
      </c>
      <c r="AA33">
        <v>80</v>
      </c>
      <c r="AB33">
        <v>80</v>
      </c>
      <c r="AC33">
        <v>80</v>
      </c>
      <c r="AD33">
        <v>85</v>
      </c>
      <c r="AE33">
        <f t="shared" si="10"/>
        <v>81</v>
      </c>
    </row>
    <row r="34" spans="1:31" ht="15.5" x14ac:dyDescent="0.35">
      <c r="A34" s="62">
        <v>24</v>
      </c>
      <c r="B34" s="63">
        <v>232401025</v>
      </c>
      <c r="C34" s="74" t="s">
        <v>99</v>
      </c>
      <c r="D34" s="65" t="s">
        <v>26</v>
      </c>
      <c r="E34" s="66"/>
      <c r="F34" s="75" t="s">
        <v>72</v>
      </c>
      <c r="G34" s="68">
        <v>81</v>
      </c>
      <c r="H34" s="69">
        <f t="shared" si="0"/>
        <v>81</v>
      </c>
      <c r="I34" s="121">
        <v>0</v>
      </c>
      <c r="J34" s="97">
        <v>91</v>
      </c>
      <c r="K34" s="70">
        <v>83</v>
      </c>
      <c r="L34" s="70">
        <f t="shared" si="4"/>
        <v>87</v>
      </c>
      <c r="M34" s="19">
        <f t="shared" si="1"/>
        <v>85.39411764705882</v>
      </c>
      <c r="N34" s="72">
        <f t="shared" si="5"/>
        <v>74.400000000000006</v>
      </c>
      <c r="P34" s="49">
        <f t="shared" si="6"/>
        <v>0</v>
      </c>
      <c r="Q34" s="97">
        <v>93</v>
      </c>
      <c r="R34" s="19">
        <f t="shared" si="2"/>
        <v>84.777321281840585</v>
      </c>
      <c r="S34" s="3">
        <f t="shared" si="7"/>
        <v>71.849999999999994</v>
      </c>
      <c r="U34" s="49">
        <f t="shared" si="8"/>
        <v>0</v>
      </c>
      <c r="V34" s="98">
        <v>93</v>
      </c>
      <c r="W34" s="19">
        <f t="shared" si="3"/>
        <v>84.857142857142861</v>
      </c>
      <c r="X34" s="3">
        <f t="shared" si="9"/>
        <v>71.849999999999994</v>
      </c>
      <c r="Z34">
        <v>80</v>
      </c>
      <c r="AA34">
        <v>80</v>
      </c>
      <c r="AB34">
        <v>80</v>
      </c>
      <c r="AC34">
        <v>80</v>
      </c>
      <c r="AD34">
        <v>85</v>
      </c>
      <c r="AE34">
        <f t="shared" si="10"/>
        <v>81</v>
      </c>
    </row>
    <row r="35" spans="1:31" ht="15.5" x14ac:dyDescent="0.35">
      <c r="A35" s="62">
        <v>25</v>
      </c>
      <c r="B35" s="63">
        <v>232401026</v>
      </c>
      <c r="C35" s="74" t="s">
        <v>100</v>
      </c>
      <c r="D35" s="65"/>
      <c r="E35" s="66" t="s">
        <v>26</v>
      </c>
      <c r="F35" s="75" t="s">
        <v>72</v>
      </c>
      <c r="G35" s="68">
        <v>82</v>
      </c>
      <c r="H35" s="69">
        <f t="shared" si="0"/>
        <v>81</v>
      </c>
      <c r="I35" s="69">
        <v>66</v>
      </c>
      <c r="J35" s="97">
        <v>91</v>
      </c>
      <c r="K35" s="70">
        <v>83</v>
      </c>
      <c r="L35" s="70">
        <f t="shared" si="4"/>
        <v>87</v>
      </c>
      <c r="M35" s="19">
        <f t="shared" si="1"/>
        <v>86.85588235294118</v>
      </c>
      <c r="N35" s="72">
        <f t="shared" si="5"/>
        <v>81.5</v>
      </c>
      <c r="P35" s="49">
        <f t="shared" si="6"/>
        <v>66</v>
      </c>
      <c r="Q35" s="97">
        <v>93</v>
      </c>
      <c r="R35" s="19">
        <f t="shared" si="2"/>
        <v>85.76335250616269</v>
      </c>
      <c r="S35" s="3">
        <f t="shared" si="7"/>
        <v>81.849999999999994</v>
      </c>
      <c r="U35" s="49">
        <f t="shared" si="8"/>
        <v>66</v>
      </c>
      <c r="V35" s="99">
        <v>87</v>
      </c>
      <c r="W35" s="19">
        <f t="shared" si="3"/>
        <v>85.709273182957389</v>
      </c>
      <c r="X35" s="3">
        <f t="shared" si="9"/>
        <v>80.349999999999994</v>
      </c>
      <c r="Z35">
        <v>80</v>
      </c>
      <c r="AA35">
        <v>80</v>
      </c>
      <c r="AB35">
        <v>80</v>
      </c>
      <c r="AC35">
        <v>80</v>
      </c>
      <c r="AD35">
        <v>85</v>
      </c>
      <c r="AE35">
        <f t="shared" si="10"/>
        <v>81</v>
      </c>
    </row>
    <row r="36" spans="1:31" ht="15.5" x14ac:dyDescent="0.35">
      <c r="A36" s="62">
        <v>27</v>
      </c>
      <c r="B36" s="63">
        <v>232401028</v>
      </c>
      <c r="C36" s="74" t="s">
        <v>102</v>
      </c>
      <c r="D36" s="65" t="s">
        <v>26</v>
      </c>
      <c r="E36" s="66"/>
      <c r="F36" s="75" t="s">
        <v>72</v>
      </c>
      <c r="G36" s="68">
        <v>82</v>
      </c>
      <c r="H36" s="69">
        <f t="shared" si="0"/>
        <v>81</v>
      </c>
      <c r="I36" s="69">
        <v>64</v>
      </c>
      <c r="J36" s="97">
        <v>59</v>
      </c>
      <c r="K36" s="70">
        <v>83</v>
      </c>
      <c r="L36" s="70">
        <f t="shared" si="4"/>
        <v>71</v>
      </c>
      <c r="M36" s="19">
        <f t="shared" si="1"/>
        <v>85.991176470588229</v>
      </c>
      <c r="N36" s="72">
        <f t="shared" si="5"/>
        <v>77.3</v>
      </c>
      <c r="P36" s="49">
        <f t="shared" si="6"/>
        <v>64</v>
      </c>
      <c r="Q36" s="97">
        <v>89</v>
      </c>
      <c r="R36" s="19">
        <f t="shared" si="2"/>
        <v>85.635168447000822</v>
      </c>
      <c r="S36" s="3">
        <f t="shared" si="7"/>
        <v>80.550000000000011</v>
      </c>
      <c r="U36" s="49">
        <f t="shared" si="8"/>
        <v>64</v>
      </c>
      <c r="V36" s="99">
        <v>93</v>
      </c>
      <c r="W36" s="19">
        <f t="shared" si="3"/>
        <v>85.8295739348371</v>
      </c>
      <c r="X36" s="3">
        <f t="shared" si="9"/>
        <v>81.550000000000011</v>
      </c>
      <c r="Z36">
        <v>80</v>
      </c>
      <c r="AA36">
        <v>80</v>
      </c>
      <c r="AB36">
        <v>80</v>
      </c>
      <c r="AC36">
        <v>80</v>
      </c>
      <c r="AD36">
        <v>85</v>
      </c>
      <c r="AE36">
        <f t="shared" si="10"/>
        <v>81</v>
      </c>
    </row>
    <row r="37" spans="1:31" ht="15.5" x14ac:dyDescent="0.35">
      <c r="A37" s="62">
        <v>28</v>
      </c>
      <c r="B37" s="63">
        <v>232401029</v>
      </c>
      <c r="C37" s="74" t="s">
        <v>103</v>
      </c>
      <c r="D37" s="65" t="s">
        <v>26</v>
      </c>
      <c r="E37" s="66"/>
      <c r="F37" s="75" t="s">
        <v>72</v>
      </c>
      <c r="G37" s="68">
        <v>82</v>
      </c>
      <c r="H37" s="69">
        <f t="shared" si="0"/>
        <v>81</v>
      </c>
      <c r="I37" s="69">
        <v>64</v>
      </c>
      <c r="J37" s="97">
        <v>93</v>
      </c>
      <c r="K37" s="118">
        <v>0</v>
      </c>
      <c r="L37" s="70">
        <f t="shared" si="4"/>
        <v>46.5</v>
      </c>
      <c r="M37" s="19">
        <f t="shared" si="1"/>
        <v>84.730147058823533</v>
      </c>
      <c r="N37" s="72">
        <f t="shared" si="5"/>
        <v>71.174999999999997</v>
      </c>
      <c r="P37" s="49">
        <f t="shared" si="6"/>
        <v>64</v>
      </c>
      <c r="Q37" s="97">
        <v>89</v>
      </c>
      <c r="R37" s="19">
        <f t="shared" si="2"/>
        <v>85.635168447000822</v>
      </c>
      <c r="S37" s="3">
        <f t="shared" si="7"/>
        <v>80.550000000000011</v>
      </c>
      <c r="U37" s="49">
        <f t="shared" si="8"/>
        <v>64</v>
      </c>
      <c r="V37" s="99">
        <v>75</v>
      </c>
      <c r="W37" s="19">
        <f t="shared" si="3"/>
        <v>85.378446115288227</v>
      </c>
      <c r="X37" s="3">
        <f t="shared" si="9"/>
        <v>77.050000000000011</v>
      </c>
      <c r="Z37">
        <v>80</v>
      </c>
      <c r="AA37">
        <v>80</v>
      </c>
      <c r="AB37">
        <v>80</v>
      </c>
      <c r="AC37">
        <v>80</v>
      </c>
      <c r="AD37">
        <v>85</v>
      </c>
      <c r="AE37">
        <f t="shared" si="10"/>
        <v>81</v>
      </c>
    </row>
    <row r="38" spans="1:31" ht="15.5" x14ac:dyDescent="0.35">
      <c r="A38" s="62">
        <v>29</v>
      </c>
      <c r="B38" s="63">
        <v>232401030</v>
      </c>
      <c r="C38" s="74" t="s">
        <v>104</v>
      </c>
      <c r="D38" s="65"/>
      <c r="E38" s="66" t="s">
        <v>26</v>
      </c>
      <c r="F38" s="75" t="s">
        <v>72</v>
      </c>
      <c r="G38" s="68">
        <v>82</v>
      </c>
      <c r="H38" s="69">
        <f t="shared" si="0"/>
        <v>81</v>
      </c>
      <c r="I38" s="69">
        <v>68</v>
      </c>
      <c r="J38" s="97">
        <v>91</v>
      </c>
      <c r="K38" s="70">
        <v>83</v>
      </c>
      <c r="L38" s="70">
        <f t="shared" si="4"/>
        <v>87</v>
      </c>
      <c r="M38" s="19">
        <f t="shared" si="1"/>
        <v>86.897058823529406</v>
      </c>
      <c r="N38" s="72">
        <f t="shared" si="5"/>
        <v>81.7</v>
      </c>
      <c r="P38" s="49">
        <f t="shared" si="6"/>
        <v>68</v>
      </c>
      <c r="Q38" s="97">
        <v>91</v>
      </c>
      <c r="R38" s="19">
        <f t="shared" si="2"/>
        <v>85.743631881676251</v>
      </c>
      <c r="S38" s="3">
        <f t="shared" si="7"/>
        <v>81.650000000000006</v>
      </c>
      <c r="U38" s="49">
        <f t="shared" si="8"/>
        <v>68</v>
      </c>
      <c r="V38" s="98">
        <v>87</v>
      </c>
      <c r="W38" s="19">
        <f t="shared" si="3"/>
        <v>85.739348370927317</v>
      </c>
      <c r="X38" s="3">
        <f t="shared" si="9"/>
        <v>80.650000000000006</v>
      </c>
      <c r="Z38">
        <v>80</v>
      </c>
      <c r="AA38">
        <v>80</v>
      </c>
      <c r="AB38">
        <v>80</v>
      </c>
      <c r="AC38">
        <v>80</v>
      </c>
      <c r="AD38">
        <v>85</v>
      </c>
      <c r="AE38">
        <f t="shared" si="10"/>
        <v>81</v>
      </c>
    </row>
    <row r="39" spans="1:31" ht="15.5" x14ac:dyDescent="0.35">
      <c r="A39" s="62">
        <v>30</v>
      </c>
      <c r="B39" s="63">
        <v>232401031</v>
      </c>
      <c r="C39" s="74" t="s">
        <v>105</v>
      </c>
      <c r="D39" s="65"/>
      <c r="E39" s="66" t="s">
        <v>26</v>
      </c>
      <c r="F39" s="75" t="s">
        <v>72</v>
      </c>
      <c r="G39" s="68">
        <v>82</v>
      </c>
      <c r="H39" s="69">
        <f t="shared" si="0"/>
        <v>81</v>
      </c>
      <c r="I39" s="69">
        <v>70</v>
      </c>
      <c r="J39" s="97">
        <v>91</v>
      </c>
      <c r="K39" s="70">
        <v>83</v>
      </c>
      <c r="L39" s="70">
        <f t="shared" si="4"/>
        <v>87</v>
      </c>
      <c r="M39" s="19">
        <f t="shared" si="1"/>
        <v>86.938235294117646</v>
      </c>
      <c r="N39" s="72">
        <f t="shared" si="5"/>
        <v>81.900000000000006</v>
      </c>
      <c r="P39" s="49">
        <f t="shared" si="6"/>
        <v>70</v>
      </c>
      <c r="Q39" s="97">
        <v>93</v>
      </c>
      <c r="R39" s="19">
        <f t="shared" si="2"/>
        <v>85.822514379622021</v>
      </c>
      <c r="S39" s="3">
        <f t="shared" si="7"/>
        <v>82.45</v>
      </c>
      <c r="U39" s="49">
        <f t="shared" si="8"/>
        <v>70</v>
      </c>
      <c r="V39" s="99">
        <v>93</v>
      </c>
      <c r="W39" s="19">
        <f t="shared" si="3"/>
        <v>85.919799498746869</v>
      </c>
      <c r="X39" s="3">
        <f t="shared" si="9"/>
        <v>82.45</v>
      </c>
      <c r="Z39">
        <v>80</v>
      </c>
      <c r="AA39">
        <v>80</v>
      </c>
      <c r="AB39">
        <v>80</v>
      </c>
      <c r="AC39">
        <v>80</v>
      </c>
      <c r="AD39">
        <v>85</v>
      </c>
      <c r="AE39">
        <f t="shared" si="10"/>
        <v>81</v>
      </c>
    </row>
    <row r="40" spans="1:31" ht="15.5" x14ac:dyDescent="0.35">
      <c r="A40" s="62">
        <v>31</v>
      </c>
      <c r="B40" s="63">
        <v>232401032</v>
      </c>
      <c r="C40" s="74" t="s">
        <v>106</v>
      </c>
      <c r="D40" s="65" t="s">
        <v>26</v>
      </c>
      <c r="E40" s="66"/>
      <c r="F40" s="75" t="s">
        <v>72</v>
      </c>
      <c r="G40" s="68">
        <v>81</v>
      </c>
      <c r="H40" s="69">
        <f t="shared" si="0"/>
        <v>49</v>
      </c>
      <c r="I40" s="69">
        <v>64</v>
      </c>
      <c r="J40" s="97">
        <v>83</v>
      </c>
      <c r="K40" s="70">
        <v>83</v>
      </c>
      <c r="L40" s="70">
        <f t="shared" si="4"/>
        <v>83</v>
      </c>
      <c r="M40" s="19">
        <f t="shared" si="1"/>
        <v>85.517647058823528</v>
      </c>
      <c r="N40" s="72">
        <f t="shared" si="5"/>
        <v>75</v>
      </c>
      <c r="P40" s="49">
        <f t="shared" si="6"/>
        <v>64</v>
      </c>
      <c r="Q40" s="97">
        <v>69</v>
      </c>
      <c r="R40" s="19">
        <f t="shared" si="2"/>
        <v>83.554642563681185</v>
      </c>
      <c r="S40" s="3">
        <f t="shared" si="7"/>
        <v>59.45</v>
      </c>
      <c r="U40" s="49">
        <f t="shared" si="8"/>
        <v>64</v>
      </c>
      <c r="V40" s="98">
        <v>87</v>
      </c>
      <c r="W40" s="19">
        <f t="shared" si="3"/>
        <v>84.065162907268174</v>
      </c>
      <c r="X40" s="3">
        <f t="shared" si="9"/>
        <v>63.95</v>
      </c>
      <c r="Z40">
        <v>80</v>
      </c>
      <c r="AA40">
        <v>80</v>
      </c>
      <c r="AB40">
        <v>0</v>
      </c>
      <c r="AC40">
        <v>0</v>
      </c>
      <c r="AD40">
        <v>85</v>
      </c>
      <c r="AE40">
        <f t="shared" si="10"/>
        <v>49</v>
      </c>
    </row>
    <row r="41" spans="1:31" ht="15.5" x14ac:dyDescent="0.35">
      <c r="A41" s="62">
        <v>32</v>
      </c>
      <c r="B41" s="63">
        <v>232401033</v>
      </c>
      <c r="C41" s="74" t="s">
        <v>107</v>
      </c>
      <c r="D41" s="65" t="s">
        <v>26</v>
      </c>
      <c r="E41" s="76"/>
      <c r="F41" s="75" t="s">
        <v>72</v>
      </c>
      <c r="G41" s="68">
        <v>82</v>
      </c>
      <c r="H41" s="69">
        <f t="shared" si="0"/>
        <v>81</v>
      </c>
      <c r="I41" s="69">
        <v>54</v>
      </c>
      <c r="J41" s="97">
        <v>93</v>
      </c>
      <c r="K41" s="118">
        <v>0</v>
      </c>
      <c r="L41" s="70">
        <f t="shared" si="4"/>
        <v>46.5</v>
      </c>
      <c r="M41" s="19">
        <f t="shared" si="1"/>
        <v>84.524264705882345</v>
      </c>
      <c r="N41" s="72">
        <f t="shared" si="5"/>
        <v>70.174999999999997</v>
      </c>
      <c r="P41" s="49">
        <f t="shared" si="6"/>
        <v>54</v>
      </c>
      <c r="Q41" s="97">
        <v>91</v>
      </c>
      <c r="R41" s="19">
        <f t="shared" si="2"/>
        <v>85.536565324568613</v>
      </c>
      <c r="S41" s="3">
        <f t="shared" si="7"/>
        <v>79.550000000000011</v>
      </c>
      <c r="U41" s="49">
        <f t="shared" si="8"/>
        <v>54</v>
      </c>
      <c r="V41" s="98">
        <v>93</v>
      </c>
      <c r="W41" s="19">
        <f t="shared" si="3"/>
        <v>85.679197994987476</v>
      </c>
      <c r="X41" s="3">
        <f t="shared" si="9"/>
        <v>80.050000000000011</v>
      </c>
      <c r="Z41">
        <v>80</v>
      </c>
      <c r="AA41">
        <v>80</v>
      </c>
      <c r="AB41">
        <v>80</v>
      </c>
      <c r="AC41">
        <v>80</v>
      </c>
      <c r="AD41">
        <v>85</v>
      </c>
      <c r="AE41">
        <f t="shared" si="10"/>
        <v>81</v>
      </c>
    </row>
    <row r="42" spans="1:31" ht="15.5" x14ac:dyDescent="0.35">
      <c r="A42" s="62">
        <v>33</v>
      </c>
      <c r="B42" s="63">
        <v>232401035</v>
      </c>
      <c r="C42" s="74" t="s">
        <v>108</v>
      </c>
      <c r="D42" s="65"/>
      <c r="E42" s="66" t="s">
        <v>26</v>
      </c>
      <c r="F42" s="75" t="s">
        <v>72</v>
      </c>
      <c r="G42" s="68">
        <v>82</v>
      </c>
      <c r="H42" s="69">
        <f t="shared" si="0"/>
        <v>81</v>
      </c>
      <c r="I42" s="69">
        <v>74</v>
      </c>
      <c r="J42" s="97">
        <v>91</v>
      </c>
      <c r="K42" s="118">
        <v>0</v>
      </c>
      <c r="L42" s="70">
        <f t="shared" si="4"/>
        <v>45.5</v>
      </c>
      <c r="M42" s="19">
        <f t="shared" si="1"/>
        <v>84.884558823529417</v>
      </c>
      <c r="N42" s="72">
        <f t="shared" si="5"/>
        <v>71.924999999999997</v>
      </c>
      <c r="P42" s="49">
        <f t="shared" si="6"/>
        <v>74</v>
      </c>
      <c r="Q42" s="97">
        <v>93</v>
      </c>
      <c r="R42" s="19">
        <f t="shared" si="2"/>
        <v>85.881676253081352</v>
      </c>
      <c r="S42" s="3">
        <f t="shared" si="7"/>
        <v>83.050000000000011</v>
      </c>
      <c r="U42" s="49">
        <f t="shared" si="8"/>
        <v>74</v>
      </c>
      <c r="V42" s="99">
        <v>81</v>
      </c>
      <c r="W42" s="19">
        <f t="shared" si="3"/>
        <v>85.679197994987476</v>
      </c>
      <c r="X42" s="3">
        <f t="shared" si="9"/>
        <v>80.050000000000011</v>
      </c>
      <c r="Z42">
        <v>80</v>
      </c>
      <c r="AA42">
        <v>80</v>
      </c>
      <c r="AB42">
        <v>80</v>
      </c>
      <c r="AC42">
        <v>80</v>
      </c>
      <c r="AD42">
        <v>85</v>
      </c>
      <c r="AE42">
        <f t="shared" si="10"/>
        <v>81</v>
      </c>
    </row>
    <row r="43" spans="1:31" ht="15.5" x14ac:dyDescent="0.35">
      <c r="A43" s="62">
        <v>36</v>
      </c>
      <c r="B43" s="63">
        <v>232401040</v>
      </c>
      <c r="C43" s="74" t="s">
        <v>111</v>
      </c>
      <c r="D43" s="65" t="s">
        <v>26</v>
      </c>
      <c r="E43" s="66"/>
      <c r="F43" s="75" t="s">
        <v>72</v>
      </c>
      <c r="G43" s="68">
        <v>81</v>
      </c>
      <c r="H43" s="69">
        <f>AE43</f>
        <v>81</v>
      </c>
      <c r="I43" s="69">
        <v>64</v>
      </c>
      <c r="J43" s="97">
        <v>93</v>
      </c>
      <c r="K43" s="118">
        <v>0</v>
      </c>
      <c r="L43" s="70">
        <f>AVERAGE(J43:K43)</f>
        <v>46.5</v>
      </c>
      <c r="M43" s="19">
        <f t="shared" si="1"/>
        <v>84.627205882352939</v>
      </c>
      <c r="N43" s="72">
        <f>(G43*0.5)+(H43*0.15)+(I43*0.1)+(L43*0.25)</f>
        <v>70.674999999999997</v>
      </c>
      <c r="P43" s="49">
        <f>I43</f>
        <v>64</v>
      </c>
      <c r="Q43" s="97">
        <v>91</v>
      </c>
      <c r="R43" s="19">
        <f t="shared" si="2"/>
        <v>85.6746096959737</v>
      </c>
      <c r="S43" s="3">
        <f>(0.1*G43)+(0.5*H43)+(0.15*P43)+(0.25*Q43)</f>
        <v>80.95</v>
      </c>
      <c r="U43" s="49">
        <f>I43</f>
        <v>64</v>
      </c>
      <c r="V43" s="98">
        <v>93</v>
      </c>
      <c r="W43" s="19">
        <f t="shared" si="3"/>
        <v>85.819548872180448</v>
      </c>
      <c r="X43" s="3">
        <f>(0.1*G43)+(0.5*H43)+(0.15*U43)+(0.25*V43)</f>
        <v>81.45</v>
      </c>
      <c r="Z43">
        <v>80</v>
      </c>
      <c r="AA43">
        <v>80</v>
      </c>
      <c r="AB43">
        <v>80</v>
      </c>
      <c r="AC43">
        <v>80</v>
      </c>
      <c r="AD43">
        <v>85</v>
      </c>
      <c r="AE43">
        <f>AVERAGE(Z43:AD43)</f>
        <v>81</v>
      </c>
    </row>
    <row r="44" spans="1:31" ht="15.5" x14ac:dyDescent="0.35">
      <c r="A44" s="62">
        <v>35</v>
      </c>
      <c r="B44" s="63">
        <v>232401039</v>
      </c>
      <c r="C44" s="74" t="s">
        <v>110</v>
      </c>
      <c r="D44" s="65" t="s">
        <v>26</v>
      </c>
      <c r="E44" s="66"/>
      <c r="F44" s="75" t="s">
        <v>72</v>
      </c>
      <c r="G44" s="68">
        <v>81</v>
      </c>
      <c r="H44" s="69">
        <f t="shared" si="0"/>
        <v>65</v>
      </c>
      <c r="I44" s="121">
        <v>0</v>
      </c>
      <c r="J44" s="97">
        <v>91</v>
      </c>
      <c r="K44" s="70">
        <v>83</v>
      </c>
      <c r="L44" s="70">
        <f t="shared" si="4"/>
        <v>87</v>
      </c>
      <c r="M44" s="19">
        <f t="shared" si="1"/>
        <v>84.9</v>
      </c>
      <c r="N44" s="72">
        <f t="shared" si="5"/>
        <v>72</v>
      </c>
      <c r="P44" s="49">
        <f t="shared" si="6"/>
        <v>0</v>
      </c>
      <c r="Q44" s="97">
        <v>87</v>
      </c>
      <c r="R44" s="19">
        <f t="shared" si="2"/>
        <v>83.840591618734592</v>
      </c>
      <c r="S44" s="3">
        <f t="shared" si="7"/>
        <v>62.35</v>
      </c>
      <c r="U44" s="49">
        <f t="shared" si="8"/>
        <v>0</v>
      </c>
      <c r="V44" s="99">
        <v>91</v>
      </c>
      <c r="W44" s="19">
        <f t="shared" si="3"/>
        <v>84.005012531328319</v>
      </c>
      <c r="X44" s="3">
        <f t="shared" si="9"/>
        <v>63.35</v>
      </c>
      <c r="Z44">
        <v>0</v>
      </c>
      <c r="AA44">
        <v>80</v>
      </c>
      <c r="AB44">
        <v>80</v>
      </c>
      <c r="AC44">
        <v>80</v>
      </c>
      <c r="AD44">
        <v>85</v>
      </c>
      <c r="AE44">
        <f t="shared" si="10"/>
        <v>65</v>
      </c>
    </row>
    <row r="45" spans="1:31" ht="15.5" x14ac:dyDescent="0.35">
      <c r="A45" s="62">
        <v>34</v>
      </c>
      <c r="B45" s="63">
        <v>232401036</v>
      </c>
      <c r="C45" s="74" t="s">
        <v>109</v>
      </c>
      <c r="D45" s="65" t="s">
        <v>26</v>
      </c>
      <c r="E45" s="66"/>
      <c r="F45" s="75" t="s">
        <v>72</v>
      </c>
      <c r="G45" s="68">
        <v>82</v>
      </c>
      <c r="H45" s="69">
        <f>AE45</f>
        <v>81</v>
      </c>
      <c r="I45" s="69">
        <v>64</v>
      </c>
      <c r="J45" s="97">
        <v>81</v>
      </c>
      <c r="K45" s="118">
        <v>0</v>
      </c>
      <c r="L45" s="70">
        <f>AVERAGE(J45:K45)</f>
        <v>40.5</v>
      </c>
      <c r="M45" s="19">
        <f t="shared" si="1"/>
        <v>84.421323529411765</v>
      </c>
      <c r="N45" s="72">
        <f>(G45*0.5)+(H45*0.15)+(I45*0.1)+(L45*0.25)</f>
        <v>69.674999999999997</v>
      </c>
      <c r="P45" s="49">
        <f>I45</f>
        <v>64</v>
      </c>
      <c r="Q45" s="97">
        <v>91</v>
      </c>
      <c r="R45" s="19">
        <f t="shared" si="2"/>
        <v>85.684470008216934</v>
      </c>
      <c r="S45" s="3">
        <f>(0.1*G45)+(0.5*H45)+(0.15*P45)+(0.25*Q45)</f>
        <v>81.050000000000011</v>
      </c>
      <c r="U45" s="49">
        <f>I45</f>
        <v>64</v>
      </c>
      <c r="V45" s="99">
        <v>93</v>
      </c>
      <c r="W45" s="19">
        <f t="shared" si="3"/>
        <v>85.8295739348371</v>
      </c>
      <c r="X45" s="3">
        <f>(0.1*G45)+(0.5*H45)+(0.15*U45)+(0.25*V45)</f>
        <v>81.550000000000011</v>
      </c>
      <c r="Z45">
        <v>80</v>
      </c>
      <c r="AA45">
        <v>80</v>
      </c>
      <c r="AB45">
        <v>80</v>
      </c>
      <c r="AC45">
        <v>80</v>
      </c>
      <c r="AD45">
        <v>85</v>
      </c>
      <c r="AE45">
        <f>AVERAGE(Z45:AD45)</f>
        <v>81</v>
      </c>
    </row>
    <row r="46" spans="1:31" ht="15.5" x14ac:dyDescent="0.35">
      <c r="A46" s="62">
        <v>37</v>
      </c>
      <c r="B46" s="63">
        <v>232401042</v>
      </c>
      <c r="C46" s="74" t="s">
        <v>112</v>
      </c>
      <c r="D46" s="65"/>
      <c r="E46" s="66" t="s">
        <v>26</v>
      </c>
      <c r="F46" s="75" t="s">
        <v>72</v>
      </c>
      <c r="G46" s="68">
        <v>81</v>
      </c>
      <c r="H46" s="69">
        <f t="shared" si="0"/>
        <v>81</v>
      </c>
      <c r="I46" s="69">
        <v>70</v>
      </c>
      <c r="J46" s="97">
        <v>93</v>
      </c>
      <c r="K46" s="70">
        <v>83</v>
      </c>
      <c r="L46" s="70">
        <f t="shared" si="4"/>
        <v>88</v>
      </c>
      <c r="M46" s="19">
        <f t="shared" si="1"/>
        <v>86.886764705882356</v>
      </c>
      <c r="N46" s="72">
        <f t="shared" si="5"/>
        <v>81.650000000000006</v>
      </c>
      <c r="P46" s="49">
        <f t="shared" si="6"/>
        <v>70</v>
      </c>
      <c r="Q46" s="97">
        <v>87</v>
      </c>
      <c r="R46" s="19">
        <f t="shared" si="2"/>
        <v>85.664749383730481</v>
      </c>
      <c r="S46" s="3">
        <f t="shared" si="7"/>
        <v>80.849999999999994</v>
      </c>
      <c r="U46" s="49">
        <f t="shared" si="8"/>
        <v>70</v>
      </c>
      <c r="V46" s="99">
        <v>93</v>
      </c>
      <c r="W46" s="19">
        <f t="shared" si="3"/>
        <v>85.909774436090231</v>
      </c>
      <c r="X46" s="3">
        <f t="shared" si="9"/>
        <v>82.35</v>
      </c>
      <c r="Z46">
        <v>80</v>
      </c>
      <c r="AA46">
        <v>80</v>
      </c>
      <c r="AB46">
        <v>80</v>
      </c>
      <c r="AC46">
        <v>80</v>
      </c>
      <c r="AD46">
        <v>85</v>
      </c>
      <c r="AE46">
        <f t="shared" si="10"/>
        <v>81</v>
      </c>
    </row>
    <row r="47" spans="1:31" ht="15.5" x14ac:dyDescent="0.35">
      <c r="A47" s="62">
        <v>38</v>
      </c>
      <c r="B47" s="63">
        <v>232401043</v>
      </c>
      <c r="C47" s="74" t="s">
        <v>113</v>
      </c>
      <c r="D47" s="65"/>
      <c r="E47" s="66" t="s">
        <v>26</v>
      </c>
      <c r="F47" s="75" t="s">
        <v>72</v>
      </c>
      <c r="G47" s="68">
        <v>82</v>
      </c>
      <c r="H47" s="69">
        <f t="shared" si="0"/>
        <v>81</v>
      </c>
      <c r="I47" s="69">
        <v>68</v>
      </c>
      <c r="J47" s="97">
        <v>93</v>
      </c>
      <c r="K47" s="70">
        <v>83</v>
      </c>
      <c r="L47" s="70">
        <f t="shared" si="4"/>
        <v>88</v>
      </c>
      <c r="M47" s="19">
        <f t="shared" si="1"/>
        <v>86.94852941176471</v>
      </c>
      <c r="N47" s="72">
        <f t="shared" si="5"/>
        <v>81.95</v>
      </c>
      <c r="P47" s="49">
        <f t="shared" si="6"/>
        <v>68</v>
      </c>
      <c r="Q47" s="97">
        <v>93</v>
      </c>
      <c r="R47" s="19">
        <f t="shared" si="2"/>
        <v>85.792933442892362</v>
      </c>
      <c r="S47" s="3">
        <f t="shared" si="7"/>
        <v>82.15</v>
      </c>
      <c r="U47" s="49">
        <f t="shared" si="8"/>
        <v>68</v>
      </c>
      <c r="V47" s="99">
        <v>93</v>
      </c>
      <c r="W47" s="19">
        <f t="shared" si="3"/>
        <v>85.889724310776941</v>
      </c>
      <c r="X47" s="3">
        <f t="shared" si="9"/>
        <v>82.15</v>
      </c>
      <c r="Z47">
        <v>80</v>
      </c>
      <c r="AA47">
        <v>80</v>
      </c>
      <c r="AB47">
        <v>80</v>
      </c>
      <c r="AC47">
        <v>80</v>
      </c>
      <c r="AD47">
        <v>85</v>
      </c>
      <c r="AE47">
        <f t="shared" si="10"/>
        <v>81</v>
      </c>
    </row>
    <row r="48" spans="1:31" ht="15.5" x14ac:dyDescent="0.35">
      <c r="A48" s="62">
        <v>39</v>
      </c>
      <c r="B48" s="63">
        <v>232401044</v>
      </c>
      <c r="C48" s="74" t="s">
        <v>114</v>
      </c>
      <c r="D48" s="65" t="s">
        <v>26</v>
      </c>
      <c r="E48" s="66"/>
      <c r="F48" s="75" t="s">
        <v>72</v>
      </c>
      <c r="G48" s="68">
        <v>80</v>
      </c>
      <c r="H48" s="69">
        <f t="shared" si="0"/>
        <v>49</v>
      </c>
      <c r="I48" s="69">
        <v>56</v>
      </c>
      <c r="J48" s="97">
        <v>81</v>
      </c>
      <c r="K48" s="118">
        <v>0</v>
      </c>
      <c r="L48" s="70">
        <f t="shared" si="4"/>
        <v>40.5</v>
      </c>
      <c r="M48" s="19">
        <f t="shared" si="1"/>
        <v>83.0625</v>
      </c>
      <c r="N48" s="72">
        <f t="shared" si="5"/>
        <v>63.075000000000003</v>
      </c>
      <c r="P48" s="49">
        <f t="shared" si="6"/>
        <v>56</v>
      </c>
      <c r="Q48" s="97">
        <v>91</v>
      </c>
      <c r="R48" s="19">
        <f t="shared" si="2"/>
        <v>83.968775677896474</v>
      </c>
      <c r="S48" s="3">
        <f t="shared" si="7"/>
        <v>63.65</v>
      </c>
      <c r="U48" s="49">
        <f t="shared" si="8"/>
        <v>56</v>
      </c>
      <c r="V48" s="99">
        <v>0</v>
      </c>
      <c r="W48" s="19">
        <f t="shared" si="3"/>
        <v>81.754385964912274</v>
      </c>
      <c r="X48" s="3">
        <f t="shared" si="9"/>
        <v>40.9</v>
      </c>
      <c r="Z48">
        <v>80</v>
      </c>
      <c r="AA48">
        <v>0</v>
      </c>
      <c r="AB48">
        <v>0</v>
      </c>
      <c r="AC48">
        <v>80</v>
      </c>
      <c r="AD48">
        <v>85</v>
      </c>
      <c r="AE48">
        <f t="shared" si="10"/>
        <v>49</v>
      </c>
    </row>
    <row r="49" spans="1:31" ht="15.5" x14ac:dyDescent="0.35">
      <c r="A49" s="62">
        <v>40</v>
      </c>
      <c r="B49" s="63">
        <v>232401045</v>
      </c>
      <c r="C49" s="74" t="s">
        <v>115</v>
      </c>
      <c r="D49" s="65"/>
      <c r="E49" s="66" t="s">
        <v>26</v>
      </c>
      <c r="F49" s="75" t="s">
        <v>72</v>
      </c>
      <c r="G49" s="68">
        <v>82</v>
      </c>
      <c r="H49" s="69">
        <f t="shared" si="0"/>
        <v>81</v>
      </c>
      <c r="I49" s="69">
        <v>68</v>
      </c>
      <c r="J49" s="97">
        <v>95</v>
      </c>
      <c r="K49" s="70">
        <v>83</v>
      </c>
      <c r="L49" s="70">
        <f t="shared" si="4"/>
        <v>89</v>
      </c>
      <c r="M49" s="19">
        <f t="shared" si="1"/>
        <v>87</v>
      </c>
      <c r="N49" s="72">
        <f t="shared" si="5"/>
        <v>82.2</v>
      </c>
      <c r="P49" s="49">
        <f t="shared" si="6"/>
        <v>68</v>
      </c>
      <c r="Q49" s="97">
        <v>93</v>
      </c>
      <c r="R49" s="19">
        <f t="shared" si="2"/>
        <v>85.792933442892362</v>
      </c>
      <c r="S49" s="3">
        <f t="shared" si="7"/>
        <v>82.15</v>
      </c>
      <c r="U49" s="49">
        <f t="shared" si="8"/>
        <v>68</v>
      </c>
      <c r="V49" s="98">
        <v>93</v>
      </c>
      <c r="W49" s="19">
        <f t="shared" si="3"/>
        <v>85.889724310776941</v>
      </c>
      <c r="X49" s="3">
        <f t="shared" si="9"/>
        <v>82.15</v>
      </c>
      <c r="Z49">
        <v>80</v>
      </c>
      <c r="AA49">
        <v>80</v>
      </c>
      <c r="AB49">
        <v>80</v>
      </c>
      <c r="AC49">
        <v>80</v>
      </c>
      <c r="AD49">
        <v>85</v>
      </c>
      <c r="AE49">
        <f t="shared" si="10"/>
        <v>81</v>
      </c>
    </row>
    <row r="50" spans="1:31" ht="15.5" x14ac:dyDescent="0.35">
      <c r="A50" s="62">
        <v>41</v>
      </c>
      <c r="B50" s="63">
        <v>232401046</v>
      </c>
      <c r="C50" s="74" t="s">
        <v>116</v>
      </c>
      <c r="D50" s="65" t="s">
        <v>26</v>
      </c>
      <c r="E50" s="66"/>
      <c r="F50" s="75" t="s">
        <v>72</v>
      </c>
      <c r="G50" s="68">
        <v>82</v>
      </c>
      <c r="H50" s="69">
        <f t="shared" si="0"/>
        <v>81</v>
      </c>
      <c r="I50" s="69">
        <v>58</v>
      </c>
      <c r="J50" s="97">
        <v>85</v>
      </c>
      <c r="K50" s="70">
        <v>83</v>
      </c>
      <c r="L50" s="70">
        <f t="shared" si="4"/>
        <v>84</v>
      </c>
      <c r="M50" s="19">
        <f t="shared" si="1"/>
        <v>86.536764705882348</v>
      </c>
      <c r="N50" s="72">
        <f t="shared" si="5"/>
        <v>79.95</v>
      </c>
      <c r="P50" s="49">
        <f t="shared" si="6"/>
        <v>58</v>
      </c>
      <c r="Q50" s="97">
        <v>93</v>
      </c>
      <c r="R50" s="19">
        <f t="shared" si="2"/>
        <v>85.645028759244042</v>
      </c>
      <c r="S50" s="3">
        <f t="shared" si="7"/>
        <v>80.650000000000006</v>
      </c>
      <c r="U50" s="49">
        <f t="shared" si="8"/>
        <v>58</v>
      </c>
      <c r="V50" s="98">
        <v>93</v>
      </c>
      <c r="W50" s="19">
        <f t="shared" si="3"/>
        <v>85.739348370927317</v>
      </c>
      <c r="X50" s="3">
        <f t="shared" si="9"/>
        <v>80.650000000000006</v>
      </c>
      <c r="Z50">
        <v>80</v>
      </c>
      <c r="AA50">
        <v>80</v>
      </c>
      <c r="AB50">
        <v>80</v>
      </c>
      <c r="AC50">
        <v>80</v>
      </c>
      <c r="AD50">
        <v>85</v>
      </c>
      <c r="AE50">
        <f t="shared" si="10"/>
        <v>81</v>
      </c>
    </row>
    <row r="51" spans="1:31" ht="15.5" x14ac:dyDescent="0.35">
      <c r="A51" s="62">
        <v>42</v>
      </c>
      <c r="B51" s="63">
        <v>232401047</v>
      </c>
      <c r="C51" s="74" t="s">
        <v>117</v>
      </c>
      <c r="D51" s="65" t="s">
        <v>26</v>
      </c>
      <c r="E51" s="66"/>
      <c r="F51" s="75" t="s">
        <v>72</v>
      </c>
      <c r="G51" s="68">
        <v>82</v>
      </c>
      <c r="H51" s="69">
        <f t="shared" si="0"/>
        <v>81</v>
      </c>
      <c r="I51" s="69">
        <v>68</v>
      </c>
      <c r="J51" s="97">
        <v>91</v>
      </c>
      <c r="K51" s="70">
        <v>83</v>
      </c>
      <c r="L51" s="70">
        <f t="shared" si="4"/>
        <v>87</v>
      </c>
      <c r="M51" s="19">
        <f t="shared" si="1"/>
        <v>86.897058823529406</v>
      </c>
      <c r="N51" s="72">
        <f t="shared" si="5"/>
        <v>81.7</v>
      </c>
      <c r="P51" s="49">
        <f t="shared" si="6"/>
        <v>68</v>
      </c>
      <c r="Q51" s="97">
        <v>93</v>
      </c>
      <c r="R51" s="19">
        <f t="shared" si="2"/>
        <v>85.792933442892362</v>
      </c>
      <c r="S51" s="3">
        <f t="shared" si="7"/>
        <v>82.15</v>
      </c>
      <c r="U51" s="49">
        <f t="shared" si="8"/>
        <v>68</v>
      </c>
      <c r="V51" s="98">
        <v>91</v>
      </c>
      <c r="W51" s="19">
        <f t="shared" si="3"/>
        <v>85.839598997493738</v>
      </c>
      <c r="X51" s="3">
        <f t="shared" si="9"/>
        <v>81.650000000000006</v>
      </c>
      <c r="Z51">
        <v>80</v>
      </c>
      <c r="AA51">
        <v>80</v>
      </c>
      <c r="AB51">
        <v>80</v>
      </c>
      <c r="AC51">
        <v>80</v>
      </c>
      <c r="AD51">
        <v>85</v>
      </c>
      <c r="AE51">
        <f t="shared" si="10"/>
        <v>81</v>
      </c>
    </row>
    <row r="52" spans="1:31" ht="15.5" x14ac:dyDescent="0.35">
      <c r="A52" s="62">
        <v>44</v>
      </c>
      <c r="B52" s="63">
        <v>232401049</v>
      </c>
      <c r="C52" s="74" t="s">
        <v>119</v>
      </c>
      <c r="D52" s="65" t="s">
        <v>26</v>
      </c>
      <c r="E52" s="66"/>
      <c r="F52" s="75" t="s">
        <v>72</v>
      </c>
      <c r="G52" s="68">
        <v>79</v>
      </c>
      <c r="H52" s="69">
        <f>AE52</f>
        <v>49</v>
      </c>
      <c r="I52" s="121">
        <v>0</v>
      </c>
      <c r="J52" s="97">
        <v>89</v>
      </c>
      <c r="K52" s="118">
        <v>0</v>
      </c>
      <c r="L52" s="70">
        <f>AVERAGE(J52:K52)</f>
        <v>44.5</v>
      </c>
      <c r="M52" s="19">
        <f t="shared" si="1"/>
        <v>82.012500000000003</v>
      </c>
      <c r="N52" s="72">
        <f>(G52*0.5)+(H52*0.15)+(I52*0.1)+(L52*0.25)</f>
        <v>57.975000000000001</v>
      </c>
      <c r="P52" s="49">
        <f>I52</f>
        <v>0</v>
      </c>
      <c r="Q52" s="97">
        <v>93</v>
      </c>
      <c r="R52" s="19">
        <f t="shared" si="2"/>
        <v>83.179950698438788</v>
      </c>
      <c r="S52" s="3">
        <f>(0.1*G52)+(0.5*H52)+(0.15*P52)+(0.25*Q52)</f>
        <v>55.65</v>
      </c>
      <c r="U52" s="49">
        <f>I52</f>
        <v>0</v>
      </c>
      <c r="V52" s="98">
        <v>93</v>
      </c>
      <c r="W52" s="19">
        <f t="shared" si="3"/>
        <v>83.233082706766922</v>
      </c>
      <c r="X52" s="3">
        <f>(0.1*G52)+(0.5*H52)+(0.15*U52)+(0.25*V52)</f>
        <v>55.65</v>
      </c>
      <c r="Z52">
        <v>80</v>
      </c>
      <c r="AA52">
        <v>0</v>
      </c>
      <c r="AB52">
        <v>0</v>
      </c>
      <c r="AC52">
        <v>80</v>
      </c>
      <c r="AD52">
        <v>85</v>
      </c>
      <c r="AE52">
        <f>AVERAGE(Z52:AD52)</f>
        <v>49</v>
      </c>
    </row>
    <row r="53" spans="1:31" ht="15.5" x14ac:dyDescent="0.35">
      <c r="A53" s="62">
        <v>43</v>
      </c>
      <c r="B53" s="63">
        <v>232401048</v>
      </c>
      <c r="C53" s="74" t="s">
        <v>118</v>
      </c>
      <c r="D53" s="65"/>
      <c r="E53" s="66" t="s">
        <v>26</v>
      </c>
      <c r="F53" s="75" t="s">
        <v>72</v>
      </c>
      <c r="G53" s="68">
        <v>82</v>
      </c>
      <c r="H53" s="69">
        <f t="shared" si="0"/>
        <v>81</v>
      </c>
      <c r="I53" s="69">
        <v>66</v>
      </c>
      <c r="J53" s="97">
        <v>93</v>
      </c>
      <c r="K53" s="70">
        <v>83</v>
      </c>
      <c r="L53" s="70">
        <f t="shared" si="4"/>
        <v>88</v>
      </c>
      <c r="M53" s="19">
        <f t="shared" si="1"/>
        <v>86.90735294117647</v>
      </c>
      <c r="N53" s="72">
        <f t="shared" si="5"/>
        <v>81.75</v>
      </c>
      <c r="P53" s="49">
        <f t="shared" si="6"/>
        <v>66</v>
      </c>
      <c r="Q53" s="97">
        <v>93</v>
      </c>
      <c r="R53" s="19">
        <f t="shared" si="2"/>
        <v>85.76335250616269</v>
      </c>
      <c r="S53" s="3">
        <f t="shared" si="7"/>
        <v>81.849999999999994</v>
      </c>
      <c r="U53" s="49">
        <f t="shared" si="8"/>
        <v>66</v>
      </c>
      <c r="V53" s="98">
        <v>89</v>
      </c>
      <c r="W53" s="19">
        <f t="shared" si="3"/>
        <v>85.759398496240607</v>
      </c>
      <c r="X53" s="3">
        <f t="shared" si="9"/>
        <v>80.849999999999994</v>
      </c>
      <c r="Z53">
        <v>80</v>
      </c>
      <c r="AA53">
        <v>80</v>
      </c>
      <c r="AB53">
        <v>80</v>
      </c>
      <c r="AC53">
        <v>80</v>
      </c>
      <c r="AD53">
        <v>85</v>
      </c>
      <c r="AE53">
        <f t="shared" si="10"/>
        <v>81</v>
      </c>
    </row>
    <row r="54" spans="1:31" ht="15.5" x14ac:dyDescent="0.35">
      <c r="A54" s="62">
        <v>45</v>
      </c>
      <c r="B54" s="63">
        <v>232401050</v>
      </c>
      <c r="C54" s="74" t="s">
        <v>120</v>
      </c>
      <c r="D54" s="65" t="s">
        <v>26</v>
      </c>
      <c r="E54" s="66"/>
      <c r="F54" s="75" t="s">
        <v>72</v>
      </c>
      <c r="G54" s="68">
        <v>79</v>
      </c>
      <c r="H54" s="69">
        <f t="shared" si="0"/>
        <v>81</v>
      </c>
      <c r="I54" s="69">
        <v>66</v>
      </c>
      <c r="J54" s="97">
        <v>87</v>
      </c>
      <c r="K54" s="118">
        <v>0</v>
      </c>
      <c r="L54" s="70">
        <f t="shared" si="4"/>
        <v>43.5</v>
      </c>
      <c r="M54" s="19">
        <f t="shared" si="1"/>
        <v>84.308088235294122</v>
      </c>
      <c r="N54" s="72">
        <f t="shared" si="5"/>
        <v>69.125</v>
      </c>
      <c r="P54" s="49">
        <f t="shared" si="6"/>
        <v>66</v>
      </c>
      <c r="Q54" s="97">
        <v>93</v>
      </c>
      <c r="R54" s="19">
        <f t="shared" si="2"/>
        <v>85.733771569433031</v>
      </c>
      <c r="S54" s="3">
        <f t="shared" si="7"/>
        <v>81.55</v>
      </c>
      <c r="U54" s="49">
        <f t="shared" si="8"/>
        <v>66</v>
      </c>
      <c r="V54" s="99">
        <v>87</v>
      </c>
      <c r="W54" s="19">
        <f t="shared" si="3"/>
        <v>85.679197994987462</v>
      </c>
      <c r="X54" s="3">
        <f t="shared" si="9"/>
        <v>80.05</v>
      </c>
      <c r="Z54">
        <v>80</v>
      </c>
      <c r="AA54">
        <v>80</v>
      </c>
      <c r="AB54">
        <v>80</v>
      </c>
      <c r="AC54">
        <v>80</v>
      </c>
      <c r="AD54">
        <v>85</v>
      </c>
      <c r="AE54">
        <f t="shared" si="10"/>
        <v>81</v>
      </c>
    </row>
    <row r="55" spans="1:31" ht="15.5" x14ac:dyDescent="0.35">
      <c r="A55" s="62">
        <v>46</v>
      </c>
      <c r="B55" s="63">
        <v>232401052</v>
      </c>
      <c r="C55" s="74" t="s">
        <v>121</v>
      </c>
      <c r="D55" s="65" t="s">
        <v>26</v>
      </c>
      <c r="E55" s="66"/>
      <c r="F55" s="75" t="s">
        <v>72</v>
      </c>
      <c r="G55" s="68">
        <v>82</v>
      </c>
      <c r="H55" s="69">
        <f t="shared" si="0"/>
        <v>81</v>
      </c>
      <c r="I55" s="69">
        <v>64</v>
      </c>
      <c r="J55" s="97">
        <v>91</v>
      </c>
      <c r="K55" s="70">
        <v>83</v>
      </c>
      <c r="L55" s="70">
        <f t="shared" si="4"/>
        <v>87</v>
      </c>
      <c r="M55" s="19">
        <f t="shared" si="1"/>
        <v>86.814705882352939</v>
      </c>
      <c r="N55" s="72">
        <f t="shared" si="5"/>
        <v>81.3</v>
      </c>
      <c r="P55" s="49">
        <f t="shared" si="6"/>
        <v>64</v>
      </c>
      <c r="Q55" s="97">
        <v>91</v>
      </c>
      <c r="R55" s="19">
        <f t="shared" si="2"/>
        <v>85.684470008216934</v>
      </c>
      <c r="S55" s="3">
        <f t="shared" si="7"/>
        <v>81.050000000000011</v>
      </c>
      <c r="U55" s="49">
        <f t="shared" si="8"/>
        <v>64</v>
      </c>
      <c r="V55" s="99">
        <v>93</v>
      </c>
      <c r="W55" s="19">
        <f t="shared" si="3"/>
        <v>85.8295739348371</v>
      </c>
      <c r="X55" s="3">
        <f t="shared" si="9"/>
        <v>81.550000000000011</v>
      </c>
      <c r="Z55">
        <v>80</v>
      </c>
      <c r="AA55">
        <v>80</v>
      </c>
      <c r="AB55">
        <v>80</v>
      </c>
      <c r="AC55">
        <v>80</v>
      </c>
      <c r="AD55">
        <v>85</v>
      </c>
      <c r="AE55">
        <f t="shared" si="10"/>
        <v>81</v>
      </c>
    </row>
    <row r="56" spans="1:31" ht="15.5" x14ac:dyDescent="0.35">
      <c r="A56" s="62">
        <v>47</v>
      </c>
      <c r="B56" s="63">
        <v>232401053</v>
      </c>
      <c r="C56" s="74" t="s">
        <v>122</v>
      </c>
      <c r="D56" s="65" t="s">
        <v>26</v>
      </c>
      <c r="E56" s="66"/>
      <c r="F56" s="75" t="s">
        <v>72</v>
      </c>
      <c r="G56" s="68">
        <v>82</v>
      </c>
      <c r="H56" s="69">
        <f t="shared" si="0"/>
        <v>81</v>
      </c>
      <c r="I56" s="69">
        <v>70</v>
      </c>
      <c r="J56" s="97">
        <v>89</v>
      </c>
      <c r="K56" s="70">
        <v>83</v>
      </c>
      <c r="L56" s="70">
        <f t="shared" si="4"/>
        <v>86</v>
      </c>
      <c r="M56" s="19">
        <f t="shared" si="1"/>
        <v>86.886764705882356</v>
      </c>
      <c r="N56" s="72">
        <f t="shared" si="5"/>
        <v>81.650000000000006</v>
      </c>
      <c r="P56" s="49">
        <f t="shared" si="6"/>
        <v>70</v>
      </c>
      <c r="Q56" s="97">
        <v>73</v>
      </c>
      <c r="R56" s="19">
        <f t="shared" si="2"/>
        <v>85.329498767460976</v>
      </c>
      <c r="S56" s="3">
        <f t="shared" si="7"/>
        <v>77.45</v>
      </c>
      <c r="U56" s="49">
        <f t="shared" si="8"/>
        <v>70</v>
      </c>
      <c r="V56" s="99">
        <v>91</v>
      </c>
      <c r="W56" s="19">
        <f t="shared" si="3"/>
        <v>85.869674185463666</v>
      </c>
      <c r="X56" s="3">
        <f t="shared" si="9"/>
        <v>81.95</v>
      </c>
      <c r="Z56">
        <v>80</v>
      </c>
      <c r="AA56">
        <v>80</v>
      </c>
      <c r="AB56">
        <v>80</v>
      </c>
      <c r="AC56">
        <v>80</v>
      </c>
      <c r="AD56">
        <v>85</v>
      </c>
      <c r="AE56">
        <f t="shared" si="10"/>
        <v>81</v>
      </c>
    </row>
    <row r="57" spans="1:31" ht="16" thickBot="1" x14ac:dyDescent="0.4">
      <c r="A57" s="77">
        <v>48</v>
      </c>
      <c r="B57" s="78">
        <v>232401054</v>
      </c>
      <c r="C57" s="79" t="s">
        <v>123</v>
      </c>
      <c r="D57" s="80" t="s">
        <v>26</v>
      </c>
      <c r="E57" s="81"/>
      <c r="F57" s="82" t="s">
        <v>72</v>
      </c>
      <c r="G57" s="68">
        <v>82</v>
      </c>
      <c r="H57" s="69">
        <f t="shared" si="0"/>
        <v>81</v>
      </c>
      <c r="I57" s="83">
        <v>66</v>
      </c>
      <c r="J57" s="97">
        <v>95</v>
      </c>
      <c r="K57" s="84">
        <v>83</v>
      </c>
      <c r="L57" s="84">
        <f t="shared" si="4"/>
        <v>89</v>
      </c>
      <c r="M57" s="19">
        <f t="shared" si="1"/>
        <v>86.95882352941176</v>
      </c>
      <c r="N57" s="85">
        <f t="shared" si="5"/>
        <v>82</v>
      </c>
      <c r="P57" s="49">
        <f t="shared" si="6"/>
        <v>66</v>
      </c>
      <c r="Q57" s="97">
        <v>93</v>
      </c>
      <c r="R57" s="19">
        <f t="shared" si="2"/>
        <v>85.76335250616269</v>
      </c>
      <c r="S57" s="3">
        <f t="shared" si="7"/>
        <v>81.849999999999994</v>
      </c>
      <c r="U57" s="49">
        <f t="shared" si="8"/>
        <v>66</v>
      </c>
      <c r="V57" s="99">
        <v>87</v>
      </c>
      <c r="W57" s="19">
        <f t="shared" si="3"/>
        <v>85.709273182957389</v>
      </c>
      <c r="X57" s="3">
        <f t="shared" si="9"/>
        <v>80.349999999999994</v>
      </c>
      <c r="Z57">
        <v>80</v>
      </c>
      <c r="AA57">
        <v>80</v>
      </c>
      <c r="AB57">
        <v>80</v>
      </c>
      <c r="AC57">
        <v>80</v>
      </c>
      <c r="AD57">
        <v>85</v>
      </c>
      <c r="AE57">
        <f t="shared" si="10"/>
        <v>81</v>
      </c>
    </row>
    <row r="58" spans="1:31" x14ac:dyDescent="0.35">
      <c r="A58" s="53"/>
      <c r="B58" s="54"/>
      <c r="C58" s="54"/>
      <c r="D58" s="371" t="s">
        <v>5</v>
      </c>
      <c r="E58" s="372"/>
      <c r="F58" s="373"/>
      <c r="G58" s="86">
        <f t="shared" ref="G58:N58" si="11">AVERAGE(G10:G57)</f>
        <v>81.666666666666671</v>
      </c>
      <c r="H58" s="86">
        <f t="shared" si="11"/>
        <v>65.36666666666666</v>
      </c>
      <c r="I58" s="86">
        <f t="shared" si="11"/>
        <v>52.666666666666664</v>
      </c>
      <c r="J58" s="86">
        <f t="shared" si="11"/>
        <v>85.479166666666671</v>
      </c>
      <c r="K58" s="86">
        <f t="shared" si="11"/>
        <v>51.875</v>
      </c>
      <c r="L58" s="86">
        <f t="shared" si="11"/>
        <v>68.677083333333329</v>
      </c>
      <c r="M58" s="111">
        <f t="shared" si="11"/>
        <v>85.038820465686271</v>
      </c>
      <c r="N58" s="86">
        <f t="shared" si="11"/>
        <v>72.674270833333338</v>
      </c>
      <c r="O58" s="9"/>
      <c r="P58" s="10">
        <f>AVERAGE(P10:P57)</f>
        <v>52.666666666666664</v>
      </c>
      <c r="Q58" s="10">
        <f>AVERAGE(Q10:Q57)</f>
        <v>88.395833333333329</v>
      </c>
      <c r="R58" s="10">
        <f>AVERAGE(R10:R57)</f>
        <v>84.678615447822509</v>
      </c>
      <c r="S58" s="10">
        <f>AVERAGE(S10:S57)</f>
        <v>70.848958333333343</v>
      </c>
      <c r="U58" s="10">
        <f>AVERAGE(U10:U57)</f>
        <v>52.666666666666664</v>
      </c>
      <c r="V58" s="10">
        <f>AVERAGE(V10:V57)</f>
        <v>86.375</v>
      </c>
      <c r="W58" s="10">
        <f>AVERAGE(W10:W57)</f>
        <v>84.706140350877192</v>
      </c>
      <c r="X58" s="50">
        <f>AVERAGE(X10:X57)</f>
        <v>70.343750000000014</v>
      </c>
    </row>
    <row r="59" spans="1:31" x14ac:dyDescent="0.35">
      <c r="A59" s="53"/>
      <c r="B59" s="54"/>
      <c r="C59" s="54"/>
      <c r="D59" s="357" t="s">
        <v>6</v>
      </c>
      <c r="E59" s="358"/>
      <c r="F59" s="359"/>
      <c r="G59" s="55">
        <f t="shared" ref="G59:N59" si="12">MAX(G10:G57)</f>
        <v>82</v>
      </c>
      <c r="H59" s="55">
        <f t="shared" si="12"/>
        <v>81.400000000000006</v>
      </c>
      <c r="I59" s="55">
        <f t="shared" si="12"/>
        <v>82</v>
      </c>
      <c r="J59" s="55">
        <f t="shared" si="12"/>
        <v>97</v>
      </c>
      <c r="K59" s="55">
        <f t="shared" si="12"/>
        <v>83</v>
      </c>
      <c r="L59" s="55">
        <f t="shared" si="12"/>
        <v>90</v>
      </c>
      <c r="M59" s="112">
        <f t="shared" si="12"/>
        <v>87</v>
      </c>
      <c r="N59" s="55">
        <f t="shared" si="12"/>
        <v>82.2</v>
      </c>
      <c r="O59" s="9"/>
      <c r="P59" s="10">
        <f>MAX(P10:P57)</f>
        <v>82</v>
      </c>
      <c r="Q59" s="10">
        <f>MAX(Q10:Q57)</f>
        <v>93</v>
      </c>
      <c r="R59" s="10">
        <f>MAX(R10:R57)</f>
        <v>86</v>
      </c>
      <c r="S59" s="10">
        <f>MAX(S10:S57)</f>
        <v>84.25</v>
      </c>
      <c r="U59" s="10">
        <f>MAX(U10:U57)</f>
        <v>82</v>
      </c>
      <c r="V59" s="10">
        <f>MAX(V10:V57)</f>
        <v>93</v>
      </c>
      <c r="W59" s="10">
        <f>MAX(W10:W57)</f>
        <v>86</v>
      </c>
      <c r="X59" s="50">
        <f>MAX(X10:X57)</f>
        <v>83.25</v>
      </c>
    </row>
    <row r="60" spans="1:31" s="58" customFormat="1" x14ac:dyDescent="0.35">
      <c r="A60" s="53"/>
      <c r="B60" s="54"/>
      <c r="C60" s="54"/>
      <c r="D60" s="357" t="s">
        <v>7</v>
      </c>
      <c r="E60" s="358"/>
      <c r="F60" s="359"/>
      <c r="G60" s="55">
        <f t="shared" ref="G60:N60" si="13">MIN(G10:G57)</f>
        <v>79</v>
      </c>
      <c r="H60" s="55">
        <f t="shared" si="13"/>
        <v>16</v>
      </c>
      <c r="I60" s="55">
        <f t="shared" si="13"/>
        <v>0</v>
      </c>
      <c r="J60" s="55">
        <f t="shared" si="13"/>
        <v>0</v>
      </c>
      <c r="K60" s="55">
        <f t="shared" si="13"/>
        <v>0</v>
      </c>
      <c r="L60" s="55">
        <f t="shared" si="13"/>
        <v>0</v>
      </c>
      <c r="M60" s="112">
        <f t="shared" si="13"/>
        <v>80</v>
      </c>
      <c r="N60" s="55">
        <f t="shared" si="13"/>
        <v>48.2</v>
      </c>
      <c r="O60" s="57"/>
      <c r="P60" s="55">
        <f>MIN(P10:P57)</f>
        <v>0</v>
      </c>
      <c r="Q60" s="55">
        <f>MIN(Q10:Q57)</f>
        <v>0</v>
      </c>
      <c r="R60" s="55">
        <f>MIN(R10:R57)</f>
        <v>80</v>
      </c>
      <c r="S60" s="55">
        <f>MIN(S10:S57)</f>
        <v>23.400000000000002</v>
      </c>
      <c r="U60" s="55">
        <f>MIN(U10:U57)</f>
        <v>0</v>
      </c>
      <c r="V60" s="55">
        <f>MIN(V10:V57)</f>
        <v>0</v>
      </c>
      <c r="W60" s="55">
        <f>MIN(W10:W57)</f>
        <v>80</v>
      </c>
      <c r="X60" s="56">
        <f>MIN(X10:X57)</f>
        <v>23.400000000000002</v>
      </c>
    </row>
    <row r="61" spans="1:31" x14ac:dyDescent="0.35">
      <c r="A61" s="53"/>
      <c r="B61" s="54"/>
      <c r="C61" s="54"/>
      <c r="D61" s="357" t="s">
        <v>8</v>
      </c>
      <c r="E61" s="358"/>
      <c r="F61" s="359"/>
      <c r="G61" s="55">
        <f t="shared" ref="G61:N61" si="14">STDEV(G10:G57)</f>
        <v>0.75324357715470935</v>
      </c>
      <c r="H61" s="55">
        <f t="shared" si="14"/>
        <v>20.688462540012576</v>
      </c>
      <c r="I61" s="55">
        <f t="shared" si="14"/>
        <v>21.283630042862008</v>
      </c>
      <c r="J61" s="55">
        <f t="shared" si="14"/>
        <v>23.131437191078792</v>
      </c>
      <c r="K61" s="55">
        <f t="shared" si="14"/>
        <v>40.607422547576775</v>
      </c>
      <c r="L61" s="55">
        <f t="shared" si="14"/>
        <v>24.807876576769459</v>
      </c>
      <c r="M61" s="112">
        <f t="shared" si="14"/>
        <v>1.8679583458640665</v>
      </c>
      <c r="N61" s="55">
        <f t="shared" si="14"/>
        <v>9.0729405370540306</v>
      </c>
      <c r="O61" s="9"/>
      <c r="P61" s="10">
        <f>STDEV(P10:P57)</f>
        <v>21.283630042862008</v>
      </c>
      <c r="Q61" s="10">
        <f>STDEV(Q10:Q57)</f>
        <v>13.819104234499862</v>
      </c>
      <c r="R61" s="10">
        <f>STDEV(R10:R57)</f>
        <v>1.3155613766797862</v>
      </c>
      <c r="S61" s="10">
        <f>STDEV(S10:S57)</f>
        <v>13.3419849618274</v>
      </c>
      <c r="U61" s="10">
        <f>STDEV(U10:U57)</f>
        <v>21.283630042862008</v>
      </c>
      <c r="V61" s="10">
        <f t="shared" ref="V61:X61" si="15">STDEV(V10:V57)</f>
        <v>18.838196823859445</v>
      </c>
      <c r="W61" s="10">
        <f t="shared" si="15"/>
        <v>1.3808543411314416</v>
      </c>
      <c r="X61" s="50">
        <f t="shared" si="15"/>
        <v>13.774022052786027</v>
      </c>
    </row>
    <row r="62" spans="1:31" x14ac:dyDescent="0.35">
      <c r="A62" s="53"/>
      <c r="B62" s="87"/>
      <c r="C62" s="87"/>
      <c r="D62" s="360" t="s">
        <v>9</v>
      </c>
      <c r="E62" s="361"/>
      <c r="F62" s="362"/>
      <c r="G62" s="88">
        <v>80</v>
      </c>
      <c r="H62" s="89">
        <v>80</v>
      </c>
      <c r="I62" s="89">
        <v>80</v>
      </c>
      <c r="J62" s="89">
        <v>80</v>
      </c>
      <c r="K62" s="89">
        <v>80</v>
      </c>
      <c r="L62" s="89">
        <v>80</v>
      </c>
      <c r="M62" s="113">
        <v>80</v>
      </c>
      <c r="N62" s="89">
        <v>80</v>
      </c>
      <c r="P62" s="14">
        <v>80</v>
      </c>
      <c r="Q62" s="14">
        <v>80</v>
      </c>
      <c r="R62" s="14">
        <v>80</v>
      </c>
      <c r="S62" s="14">
        <v>80</v>
      </c>
      <c r="U62" s="14">
        <v>80</v>
      </c>
      <c r="V62" s="23">
        <v>80</v>
      </c>
      <c r="W62" s="23">
        <v>80</v>
      </c>
      <c r="X62" s="15">
        <v>80</v>
      </c>
    </row>
    <row r="63" spans="1:31" ht="15" thickBot="1" x14ac:dyDescent="0.4">
      <c r="A63" s="53"/>
      <c r="B63" s="87"/>
      <c r="C63" s="87"/>
      <c r="D63" s="363" t="s">
        <v>10</v>
      </c>
      <c r="E63" s="364"/>
      <c r="F63" s="365"/>
      <c r="G63" s="90">
        <v>87</v>
      </c>
      <c r="H63" s="90">
        <v>87</v>
      </c>
      <c r="I63" s="90">
        <v>87</v>
      </c>
      <c r="J63" s="90">
        <v>87</v>
      </c>
      <c r="K63" s="90">
        <v>87</v>
      </c>
      <c r="L63" s="90">
        <v>87</v>
      </c>
      <c r="M63" s="114">
        <v>87</v>
      </c>
      <c r="N63" s="90">
        <v>87</v>
      </c>
      <c r="P63" s="16">
        <v>86</v>
      </c>
      <c r="Q63" s="16">
        <v>86</v>
      </c>
      <c r="R63" s="16">
        <v>86</v>
      </c>
      <c r="S63" s="16">
        <v>86</v>
      </c>
      <c r="U63" s="16">
        <v>86</v>
      </c>
      <c r="V63" s="16">
        <v>86</v>
      </c>
      <c r="W63" s="16">
        <v>86</v>
      </c>
      <c r="X63" s="16">
        <v>86</v>
      </c>
    </row>
    <row r="64" spans="1:31" x14ac:dyDescent="0.35">
      <c r="G64" s="6"/>
      <c r="H64" s="6"/>
      <c r="I64" s="6"/>
      <c r="J64" s="6"/>
      <c r="K64" s="6"/>
      <c r="L64" s="6"/>
      <c r="M64" s="6"/>
      <c r="N64" s="6"/>
      <c r="P64" s="6"/>
      <c r="Q64" s="6"/>
      <c r="R64" s="6"/>
      <c r="S64" s="6"/>
      <c r="U64" s="6"/>
      <c r="V64" s="6"/>
      <c r="W64" s="6"/>
      <c r="X64" s="6"/>
    </row>
    <row r="65" spans="2:24" x14ac:dyDescent="0.35">
      <c r="G65" s="6"/>
      <c r="H65" s="6"/>
      <c r="I65" s="6"/>
      <c r="J65" s="6"/>
      <c r="K65" s="6"/>
      <c r="L65" s="6"/>
      <c r="M65" s="6"/>
      <c r="N65" s="6"/>
      <c r="P65" s="6"/>
      <c r="Q65" s="6"/>
      <c r="R65" s="6"/>
      <c r="S65" s="6"/>
      <c r="U65" s="6"/>
      <c r="V65" s="6"/>
      <c r="W65" s="6"/>
      <c r="X65" s="6"/>
    </row>
    <row r="66" spans="2:24" x14ac:dyDescent="0.35">
      <c r="G66" s="6"/>
      <c r="H66" s="6"/>
      <c r="I66" s="6"/>
      <c r="J66" s="6"/>
      <c r="K66" s="6"/>
      <c r="L66" s="6"/>
      <c r="M66" s="6"/>
      <c r="N66" s="6"/>
      <c r="P66" s="6"/>
      <c r="Q66" s="6"/>
      <c r="R66" s="6"/>
      <c r="S66" s="6"/>
      <c r="U66" s="6"/>
      <c r="V66" s="6"/>
      <c r="W66" s="6"/>
      <c r="X66" s="6"/>
    </row>
    <row r="67" spans="2:24" x14ac:dyDescent="0.35">
      <c r="G67" s="6"/>
      <c r="H67" s="6"/>
      <c r="I67" s="6"/>
      <c r="J67" s="6"/>
      <c r="K67" s="6"/>
      <c r="L67" s="6"/>
      <c r="M67" s="6"/>
      <c r="N67" s="6"/>
      <c r="P67" s="6"/>
      <c r="Q67" s="6"/>
      <c r="R67" s="6"/>
      <c r="S67" s="6"/>
      <c r="U67" s="6"/>
      <c r="V67" s="6"/>
      <c r="W67" s="6"/>
      <c r="X67" s="6"/>
    </row>
    <row r="68" spans="2:24" x14ac:dyDescent="0.35">
      <c r="B68" s="4"/>
      <c r="G68" s="6"/>
      <c r="H68" s="6"/>
      <c r="I68" s="6"/>
      <c r="J68" s="6"/>
      <c r="K68" s="6"/>
      <c r="L68" s="6"/>
      <c r="M68" s="6"/>
      <c r="N68" s="6"/>
      <c r="P68" s="6"/>
      <c r="Q68" s="6"/>
      <c r="R68" s="6"/>
      <c r="S68" s="6"/>
      <c r="U68" s="6"/>
      <c r="V68" s="6"/>
      <c r="W68" s="6"/>
      <c r="X68" s="6"/>
    </row>
    <row r="69" spans="2:24" x14ac:dyDescent="0.35">
      <c r="G69" s="6"/>
      <c r="H69" s="6"/>
      <c r="I69" s="6"/>
      <c r="J69" s="6"/>
      <c r="K69" s="6"/>
      <c r="L69" s="6"/>
      <c r="M69" s="6"/>
      <c r="N69" s="6"/>
      <c r="P69" s="6"/>
      <c r="Q69" s="6"/>
      <c r="R69" s="6"/>
      <c r="S69" s="6"/>
      <c r="U69" s="6"/>
      <c r="V69" s="6"/>
      <c r="W69" s="6"/>
      <c r="X69" s="6"/>
    </row>
  </sheetData>
  <mergeCells count="26">
    <mergeCell ref="A1:X1"/>
    <mergeCell ref="A2:X2"/>
    <mergeCell ref="A3:X3"/>
    <mergeCell ref="P5:S5"/>
    <mergeCell ref="P6:S6"/>
    <mergeCell ref="A5:A8"/>
    <mergeCell ref="B5:B8"/>
    <mergeCell ref="C5:C8"/>
    <mergeCell ref="P7:S7"/>
    <mergeCell ref="U5:X5"/>
    <mergeCell ref="U6:X6"/>
    <mergeCell ref="U7:X7"/>
    <mergeCell ref="D60:F60"/>
    <mergeCell ref="D61:F61"/>
    <mergeCell ref="D62:F62"/>
    <mergeCell ref="D63:F63"/>
    <mergeCell ref="G7:N7"/>
    <mergeCell ref="J8:K8"/>
    <mergeCell ref="L8:L9"/>
    <mergeCell ref="D9:E9"/>
    <mergeCell ref="D58:F58"/>
    <mergeCell ref="D59:F59"/>
    <mergeCell ref="D5:E8"/>
    <mergeCell ref="F5:F8"/>
    <mergeCell ref="G5:N5"/>
    <mergeCell ref="G6:N6"/>
  </mergeCells>
  <conditionalFormatting sqref="C10:C11 C13:C15 C17:C26 C28:C46 C48:C57">
    <cfRule type="expression" dxfId="5" priority="3">
      <formula>COUNTIF(C:C,C10)&gt;1</formula>
    </cfRule>
  </conditionalFormatting>
  <conditionalFormatting sqref="C12">
    <cfRule type="expression" dxfId="4" priority="4">
      <formula>COUNTIF(#REF!,C12)&gt;1</formula>
    </cfRule>
  </conditionalFormatting>
  <conditionalFormatting sqref="C47">
    <cfRule type="expression" dxfId="3" priority="2">
      <formula>COUNTIF(Q:Q,C47)&gt;1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1"/>
  <sheetViews>
    <sheetView zoomScale="115" zoomScaleNormal="115" workbookViewId="0">
      <pane xSplit="6" ySplit="9" topLeftCell="Z10" activePane="bottomRight" state="frozen"/>
      <selection pane="topRight" activeCell="G1" sqref="G1"/>
      <selection pane="bottomLeft" activeCell="A10" sqref="A10"/>
      <selection pane="bottomRight" activeCell="Z13" sqref="Z13"/>
    </sheetView>
  </sheetViews>
  <sheetFormatPr defaultRowHeight="14.5" x14ac:dyDescent="0.35"/>
  <cols>
    <col min="1" max="1" width="4" bestFit="1" customWidth="1"/>
    <col min="2" max="2" width="15.54296875" customWidth="1"/>
    <col min="3" max="3" width="39.81640625" bestFit="1" customWidth="1"/>
    <col min="4" max="4" width="6" customWidth="1"/>
    <col min="5" max="5" width="3" customWidth="1"/>
    <col min="6" max="6" width="6.26953125" bestFit="1" customWidth="1"/>
    <col min="7" max="8" width="8.1796875" style="5" hidden="1" customWidth="1"/>
    <col min="9" max="9" width="6" style="5" hidden="1" customWidth="1"/>
    <col min="10" max="11" width="7.1796875" style="5" hidden="1" customWidth="1"/>
    <col min="12" max="12" width="8.1796875" style="5" hidden="1" customWidth="1"/>
    <col min="13" max="13" width="12.54296875" style="5" hidden="1" customWidth="1"/>
    <col min="14" max="14" width="8.1796875" style="5" hidden="1" customWidth="1"/>
    <col min="15" max="15" width="0" hidden="1" customWidth="1"/>
    <col min="16" max="16" width="6" style="5" hidden="1" customWidth="1"/>
    <col min="17" max="17" width="7.1796875" style="5" hidden="1" customWidth="1"/>
    <col min="18" max="18" width="12.54296875" style="5" hidden="1" customWidth="1"/>
    <col min="19" max="19" width="9.1796875" style="5" hidden="1" customWidth="1"/>
    <col min="20" max="20" width="0" hidden="1" customWidth="1"/>
    <col min="21" max="21" width="6" style="5" hidden="1" customWidth="1"/>
    <col min="22" max="22" width="7.1796875" style="5" hidden="1" customWidth="1"/>
    <col min="23" max="23" width="12.54296875" style="5" hidden="1" customWidth="1"/>
    <col min="24" max="24" width="11.26953125" style="5" hidden="1" customWidth="1"/>
    <col min="25" max="25" width="0" hidden="1" customWidth="1"/>
    <col min="26" max="26" width="10.1796875" bestFit="1" customWidth="1"/>
    <col min="27" max="27" width="12.26953125" customWidth="1"/>
    <col min="28" max="28" width="13" customWidth="1"/>
    <col min="29" max="29" width="7" bestFit="1" customWidth="1"/>
    <col min="30" max="30" width="5.54296875" bestFit="1" customWidth="1"/>
    <col min="31" max="31" width="7.453125" bestFit="1" customWidth="1"/>
    <col min="32" max="32" width="6.81640625" bestFit="1" customWidth="1"/>
    <col min="33" max="33" width="10" bestFit="1" customWidth="1"/>
    <col min="34" max="34" width="7.26953125" bestFit="1" customWidth="1"/>
  </cols>
  <sheetData>
    <row r="1" spans="1:34" ht="18.5" x14ac:dyDescent="0.35">
      <c r="A1" s="386" t="s">
        <v>75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</row>
    <row r="2" spans="1:34" ht="18.5" x14ac:dyDescent="0.35">
      <c r="A2" s="386" t="s">
        <v>20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</row>
    <row r="3" spans="1:34" ht="18.5" x14ac:dyDescent="0.35">
      <c r="A3" s="386" t="s">
        <v>0</v>
      </c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</row>
    <row r="4" spans="1:34" x14ac:dyDescent="0.35">
      <c r="G4" s="6"/>
      <c r="H4" s="6"/>
      <c r="I4" s="6"/>
      <c r="J4" s="6"/>
      <c r="K4" s="6"/>
      <c r="L4" s="6"/>
      <c r="M4" s="6"/>
      <c r="N4" s="6"/>
      <c r="P4" s="6"/>
      <c r="Q4" s="6"/>
      <c r="R4" s="6"/>
      <c r="S4" s="6"/>
      <c r="U4" s="6"/>
      <c r="V4" s="6"/>
      <c r="W4" s="6"/>
      <c r="X4" s="6"/>
    </row>
    <row r="5" spans="1:34" ht="15.5" x14ac:dyDescent="0.35">
      <c r="A5" s="338" t="s">
        <v>1</v>
      </c>
      <c r="B5" s="338" t="s">
        <v>2</v>
      </c>
      <c r="C5" s="338" t="s">
        <v>3</v>
      </c>
      <c r="D5" s="338" t="s">
        <v>4</v>
      </c>
      <c r="E5" s="338"/>
      <c r="F5" s="338" t="s">
        <v>36</v>
      </c>
      <c r="G5" s="394" t="s">
        <v>127</v>
      </c>
      <c r="H5" s="394"/>
      <c r="I5" s="394"/>
      <c r="J5" s="394"/>
      <c r="K5" s="394"/>
      <c r="L5" s="394"/>
      <c r="M5" s="394"/>
      <c r="N5" s="394"/>
      <c r="O5" s="179"/>
      <c r="P5" s="394" t="s">
        <v>127</v>
      </c>
      <c r="Q5" s="394"/>
      <c r="R5" s="394"/>
      <c r="S5" s="394"/>
      <c r="T5" s="179"/>
      <c r="U5" s="394" t="s">
        <v>127</v>
      </c>
      <c r="V5" s="394"/>
      <c r="W5" s="394"/>
      <c r="X5" s="394"/>
      <c r="Y5" s="179"/>
      <c r="Z5" s="393" t="s">
        <v>229</v>
      </c>
      <c r="AA5" s="393"/>
      <c r="AB5" s="393"/>
      <c r="AC5" s="393"/>
      <c r="AD5" s="393"/>
      <c r="AE5" s="393"/>
      <c r="AF5" s="393"/>
      <c r="AG5" s="393"/>
      <c r="AH5" s="393"/>
    </row>
    <row r="6" spans="1:34" ht="15.5" x14ac:dyDescent="0.35">
      <c r="A6" s="338"/>
      <c r="B6" s="338"/>
      <c r="C6" s="338"/>
      <c r="D6" s="338"/>
      <c r="E6" s="338"/>
      <c r="F6" s="338"/>
      <c r="G6" s="395" t="s">
        <v>24</v>
      </c>
      <c r="H6" s="395"/>
      <c r="I6" s="395"/>
      <c r="J6" s="395"/>
      <c r="K6" s="395"/>
      <c r="L6" s="395"/>
      <c r="M6" s="395"/>
      <c r="N6" s="395"/>
      <c r="O6" s="179"/>
      <c r="P6" s="395" t="s">
        <v>24</v>
      </c>
      <c r="Q6" s="395"/>
      <c r="R6" s="395"/>
      <c r="S6" s="395"/>
      <c r="T6" s="179"/>
      <c r="U6" s="395" t="s">
        <v>24</v>
      </c>
      <c r="V6" s="395"/>
      <c r="W6" s="395"/>
      <c r="X6" s="395"/>
      <c r="Y6" s="179"/>
      <c r="Z6" s="393"/>
      <c r="AA6" s="393"/>
      <c r="AB6" s="393"/>
      <c r="AC6" s="393"/>
      <c r="AD6" s="393"/>
      <c r="AE6" s="393"/>
      <c r="AF6" s="393"/>
      <c r="AG6" s="393"/>
      <c r="AH6" s="393"/>
    </row>
    <row r="7" spans="1:34" ht="15.75" customHeight="1" x14ac:dyDescent="0.35">
      <c r="A7" s="338"/>
      <c r="B7" s="338"/>
      <c r="C7" s="338"/>
      <c r="D7" s="338"/>
      <c r="E7" s="338"/>
      <c r="F7" s="338"/>
      <c r="G7" s="396" t="s">
        <v>124</v>
      </c>
      <c r="H7" s="396"/>
      <c r="I7" s="396"/>
      <c r="J7" s="396"/>
      <c r="K7" s="396"/>
      <c r="L7" s="396"/>
      <c r="M7" s="396"/>
      <c r="N7" s="396"/>
      <c r="O7" s="179"/>
      <c r="P7" s="396" t="s">
        <v>179</v>
      </c>
      <c r="Q7" s="396"/>
      <c r="R7" s="396"/>
      <c r="S7" s="396"/>
      <c r="T7" s="179"/>
      <c r="U7" s="396" t="s">
        <v>126</v>
      </c>
      <c r="V7" s="396"/>
      <c r="W7" s="396"/>
      <c r="X7" s="396"/>
      <c r="Y7" s="179"/>
      <c r="Z7" s="393"/>
      <c r="AA7" s="393"/>
      <c r="AB7" s="393"/>
      <c r="AC7" s="393"/>
      <c r="AD7" s="393"/>
      <c r="AE7" s="393"/>
      <c r="AF7" s="393"/>
      <c r="AG7" s="393"/>
      <c r="AH7" s="393"/>
    </row>
    <row r="8" spans="1:34" x14ac:dyDescent="0.35">
      <c r="A8" s="338"/>
      <c r="B8" s="338"/>
      <c r="C8" s="338"/>
      <c r="D8" s="338"/>
      <c r="E8" s="338"/>
      <c r="F8" s="338"/>
      <c r="G8" s="176" t="s">
        <v>11</v>
      </c>
      <c r="H8" s="176" t="s">
        <v>16</v>
      </c>
      <c r="I8" s="176" t="s">
        <v>15</v>
      </c>
      <c r="J8" s="338" t="s">
        <v>19</v>
      </c>
      <c r="K8" s="338"/>
      <c r="L8" s="339" t="s">
        <v>14</v>
      </c>
      <c r="M8" s="18" t="s">
        <v>187</v>
      </c>
      <c r="N8" s="176" t="s">
        <v>73</v>
      </c>
      <c r="O8" s="180"/>
      <c r="P8" s="176" t="s">
        <v>15</v>
      </c>
      <c r="Q8" s="176" t="s">
        <v>19</v>
      </c>
      <c r="R8" s="18" t="s">
        <v>187</v>
      </c>
      <c r="S8" s="176" t="s">
        <v>73</v>
      </c>
      <c r="T8" s="179"/>
      <c r="U8" s="176" t="s">
        <v>15</v>
      </c>
      <c r="V8" s="176" t="s">
        <v>19</v>
      </c>
      <c r="W8" s="18" t="s">
        <v>18</v>
      </c>
      <c r="X8" s="176" t="s">
        <v>73</v>
      </c>
      <c r="Y8" s="179"/>
      <c r="Z8" s="393"/>
      <c r="AA8" s="393"/>
      <c r="AB8" s="393"/>
      <c r="AC8" s="393"/>
      <c r="AD8" s="393"/>
      <c r="AE8" s="393"/>
      <c r="AF8" s="393"/>
      <c r="AG8" s="393"/>
      <c r="AH8" s="393"/>
    </row>
    <row r="9" spans="1:34" s="96" customFormat="1" ht="24" x14ac:dyDescent="0.35">
      <c r="A9" s="92">
        <v>1</v>
      </c>
      <c r="B9" s="92">
        <v>2</v>
      </c>
      <c r="C9" s="92">
        <v>3</v>
      </c>
      <c r="D9" s="397">
        <v>4</v>
      </c>
      <c r="E9" s="397"/>
      <c r="F9" s="92">
        <v>5</v>
      </c>
      <c r="G9" s="92" t="s">
        <v>21</v>
      </c>
      <c r="H9" s="92" t="s">
        <v>22</v>
      </c>
      <c r="I9" s="92" t="s">
        <v>12</v>
      </c>
      <c r="J9" s="92" t="s">
        <v>12</v>
      </c>
      <c r="K9" s="92" t="s">
        <v>13</v>
      </c>
      <c r="L9" s="339"/>
      <c r="M9" s="92" t="s">
        <v>17</v>
      </c>
      <c r="N9" s="92" t="s">
        <v>74</v>
      </c>
      <c r="O9" s="181"/>
      <c r="P9" s="92" t="s">
        <v>12</v>
      </c>
      <c r="Q9" s="92" t="s">
        <v>12</v>
      </c>
      <c r="R9" s="92" t="s">
        <v>17</v>
      </c>
      <c r="S9" s="92" t="s">
        <v>74</v>
      </c>
      <c r="T9" s="181"/>
      <c r="U9" s="92" t="s">
        <v>12</v>
      </c>
      <c r="V9" s="92" t="s">
        <v>12</v>
      </c>
      <c r="W9" s="92" t="s">
        <v>17</v>
      </c>
      <c r="X9" s="92" t="s">
        <v>74</v>
      </c>
      <c r="Y9" s="181"/>
      <c r="Z9" s="177" t="s">
        <v>220</v>
      </c>
      <c r="AA9" s="195" t="s">
        <v>221</v>
      </c>
      <c r="AB9" s="195" t="s">
        <v>222</v>
      </c>
      <c r="AC9" s="195" t="s">
        <v>223</v>
      </c>
      <c r="AD9" s="195" t="s">
        <v>224</v>
      </c>
      <c r="AE9" s="195" t="s">
        <v>225</v>
      </c>
      <c r="AF9" s="195" t="s">
        <v>226</v>
      </c>
      <c r="AG9" s="195" t="s">
        <v>227</v>
      </c>
      <c r="AH9" s="195" t="s">
        <v>228</v>
      </c>
    </row>
    <row r="10" spans="1:34" ht="15.5" x14ac:dyDescent="0.35">
      <c r="A10" s="182">
        <v>1</v>
      </c>
      <c r="B10" s="24">
        <v>222301001</v>
      </c>
      <c r="C10" s="129" t="s">
        <v>128</v>
      </c>
      <c r="D10" s="183" t="s">
        <v>26</v>
      </c>
      <c r="E10" s="183"/>
      <c r="F10" s="184" t="s">
        <v>37</v>
      </c>
      <c r="G10" s="185">
        <v>77</v>
      </c>
      <c r="H10" s="2">
        <v>77</v>
      </c>
      <c r="I10" s="117">
        <v>0</v>
      </c>
      <c r="J10" s="100">
        <v>71</v>
      </c>
      <c r="K10" s="22">
        <v>70</v>
      </c>
      <c r="L10" s="22">
        <f>AVERAGE(J10:K10)</f>
        <v>70.5</v>
      </c>
      <c r="M10" s="19">
        <f>$N$64+((N10-$N$62)/($N$61-$N$62))*($N$65-$N$64)</f>
        <v>83.035087719298247</v>
      </c>
      <c r="N10" s="186">
        <f>(0.1*G10)+(0.5*H10)+(0.15*I10)+(0.25*L10)</f>
        <v>63.825000000000003</v>
      </c>
      <c r="O10" s="179"/>
      <c r="P10" s="2">
        <f>I10</f>
        <v>0</v>
      </c>
      <c r="Q10" s="22">
        <v>0</v>
      </c>
      <c r="R10" s="19">
        <f>$S$64+((S10-$S$62)/($S$61-$S$62))*($S$65-$S$64)</f>
        <v>83.013913043478254</v>
      </c>
      <c r="S10" s="186">
        <f>(0.1*G10)+(0.5*H10)+(0.15*P10)+(0.25*Q10)</f>
        <v>46.2</v>
      </c>
      <c r="T10" s="179"/>
      <c r="U10" s="2">
        <v>0</v>
      </c>
      <c r="V10" s="22">
        <v>0</v>
      </c>
      <c r="W10" s="19" t="e">
        <f t="shared" ref="W10:W52" si="0">$V$64+((V10-$V$62)/($V$61-$V$62))*($V$65-$V$64)</f>
        <v>#DIV/0!</v>
      </c>
      <c r="X10" s="186" t="e">
        <f>(G10*0.5)+(H10*0.15)+(U10*0.1)+(W10*0.25)</f>
        <v>#DIV/0!</v>
      </c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</row>
    <row r="11" spans="1:34" ht="15.5" x14ac:dyDescent="0.35">
      <c r="A11" s="182">
        <v>2</v>
      </c>
      <c r="B11" s="24">
        <v>222301003</v>
      </c>
      <c r="C11" s="129" t="s">
        <v>129</v>
      </c>
      <c r="D11" s="183" t="s">
        <v>26</v>
      </c>
      <c r="E11" s="183"/>
      <c r="F11" s="184" t="s">
        <v>37</v>
      </c>
      <c r="G11" s="185">
        <v>80</v>
      </c>
      <c r="H11" s="2">
        <v>85</v>
      </c>
      <c r="I11" s="2">
        <v>82</v>
      </c>
      <c r="J11" s="101">
        <v>79</v>
      </c>
      <c r="K11" s="22">
        <v>82</v>
      </c>
      <c r="L11" s="22">
        <f t="shared" ref="L11:L59" si="1">AVERAGE(J11:K11)</f>
        <v>80.5</v>
      </c>
      <c r="M11" s="19">
        <f t="shared" ref="M11:M59" si="2">$N$64+((N11-$N$62)/($N$61-$N$62))*($N$65-$N$64)</f>
        <v>86.385964912280699</v>
      </c>
      <c r="N11" s="186">
        <f t="shared" ref="N11:N59" si="3">(0.1*G11)+(0.5*H11)+(0.15*I11)+(0.25*L11)</f>
        <v>82.924999999999997</v>
      </c>
      <c r="O11" s="179"/>
      <c r="P11" s="2">
        <f t="shared" ref="P11:P59" si="4">I11</f>
        <v>82</v>
      </c>
      <c r="Q11" s="22">
        <v>0</v>
      </c>
      <c r="R11" s="19">
        <f t="shared" ref="R11:R59" si="5">$S$64+((S11-$S$62)/($S$61-$S$62))*($S$65-$S$64)</f>
        <v>86.478260869565219</v>
      </c>
      <c r="S11" s="186">
        <f t="shared" ref="S11:S59" si="6">(0.1*G11)+(0.5*H11)+(0.15*P11)+(0.25*Q11)</f>
        <v>62.8</v>
      </c>
      <c r="T11" s="179"/>
      <c r="U11" s="2">
        <v>0</v>
      </c>
      <c r="V11" s="22">
        <v>0</v>
      </c>
      <c r="W11" s="19" t="e">
        <f t="shared" si="0"/>
        <v>#DIV/0!</v>
      </c>
      <c r="X11" s="186" t="e">
        <f t="shared" ref="X11:X59" si="7">(G11*0.5)+(H11*0.15)+(U11*0.1)+(W11*0.25)</f>
        <v>#DIV/0!</v>
      </c>
      <c r="Y11" s="179"/>
      <c r="Z11" s="196"/>
      <c r="AA11" s="196"/>
      <c r="AB11" s="179"/>
      <c r="AC11" s="179"/>
      <c r="AD11" s="179"/>
      <c r="AE11" s="179"/>
      <c r="AF11" s="179"/>
      <c r="AG11" s="179"/>
      <c r="AH11" s="179"/>
    </row>
    <row r="12" spans="1:34" ht="15.5" x14ac:dyDescent="0.35">
      <c r="A12" s="182">
        <v>3</v>
      </c>
      <c r="B12" s="24">
        <v>222301004</v>
      </c>
      <c r="C12" s="129" t="s">
        <v>130</v>
      </c>
      <c r="D12" s="183" t="s">
        <v>26</v>
      </c>
      <c r="E12" s="183"/>
      <c r="F12" s="184" t="s">
        <v>37</v>
      </c>
      <c r="G12" s="185">
        <v>80</v>
      </c>
      <c r="H12" s="2">
        <v>85</v>
      </c>
      <c r="I12" s="2">
        <v>80</v>
      </c>
      <c r="J12" s="101">
        <v>79</v>
      </c>
      <c r="K12" s="22">
        <v>86</v>
      </c>
      <c r="L12" s="22">
        <f t="shared" si="1"/>
        <v>82.5</v>
      </c>
      <c r="M12" s="19">
        <f t="shared" si="2"/>
        <v>86.421052631578945</v>
      </c>
      <c r="N12" s="186">
        <f t="shared" si="3"/>
        <v>83.125</v>
      </c>
      <c r="O12" s="179"/>
      <c r="P12" s="2">
        <f t="shared" si="4"/>
        <v>80</v>
      </c>
      <c r="Q12" s="22">
        <v>0</v>
      </c>
      <c r="R12" s="19">
        <f t="shared" si="5"/>
        <v>86.415652173913045</v>
      </c>
      <c r="S12" s="186">
        <f t="shared" si="6"/>
        <v>62.5</v>
      </c>
      <c r="T12" s="179"/>
      <c r="U12" s="2">
        <v>0</v>
      </c>
      <c r="V12" s="22">
        <v>0</v>
      </c>
      <c r="W12" s="19" t="e">
        <f t="shared" si="0"/>
        <v>#DIV/0!</v>
      </c>
      <c r="X12" s="186" t="e">
        <f t="shared" si="7"/>
        <v>#DIV/0!</v>
      </c>
      <c r="Y12" s="179"/>
      <c r="Z12" s="196"/>
      <c r="AA12" s="196"/>
      <c r="AB12" s="196"/>
      <c r="AC12" s="196"/>
      <c r="AD12" s="196"/>
      <c r="AE12" s="196"/>
      <c r="AF12" s="196"/>
      <c r="AG12" s="179"/>
      <c r="AH12" s="179"/>
    </row>
    <row r="13" spans="1:34" ht="15.5" x14ac:dyDescent="0.35">
      <c r="A13" s="182">
        <v>4</v>
      </c>
      <c r="B13" s="24">
        <v>222301005</v>
      </c>
      <c r="C13" s="129" t="s">
        <v>131</v>
      </c>
      <c r="D13" s="183"/>
      <c r="E13" s="183" t="s">
        <v>26</v>
      </c>
      <c r="F13" s="184" t="s">
        <v>37</v>
      </c>
      <c r="G13" s="185">
        <v>80</v>
      </c>
      <c r="H13" s="2">
        <v>80</v>
      </c>
      <c r="I13" s="2">
        <v>80</v>
      </c>
      <c r="J13" s="101">
        <v>79</v>
      </c>
      <c r="K13" s="22">
        <v>85</v>
      </c>
      <c r="L13" s="22">
        <f t="shared" si="1"/>
        <v>82</v>
      </c>
      <c r="M13" s="19">
        <f t="shared" si="2"/>
        <v>85.96052631578948</v>
      </c>
      <c r="N13" s="186">
        <f t="shared" si="3"/>
        <v>80.5</v>
      </c>
      <c r="O13" s="179"/>
      <c r="P13" s="2">
        <f t="shared" si="4"/>
        <v>80</v>
      </c>
      <c r="Q13" s="22">
        <v>0</v>
      </c>
      <c r="R13" s="19">
        <f t="shared" si="5"/>
        <v>85.893913043478264</v>
      </c>
      <c r="S13" s="186">
        <f t="shared" si="6"/>
        <v>60</v>
      </c>
      <c r="T13" s="179"/>
      <c r="U13" s="2">
        <v>0</v>
      </c>
      <c r="V13" s="22">
        <v>0</v>
      </c>
      <c r="W13" s="19" t="e">
        <f t="shared" si="0"/>
        <v>#DIV/0!</v>
      </c>
      <c r="X13" s="186" t="e">
        <f t="shared" si="7"/>
        <v>#DIV/0!</v>
      </c>
      <c r="Y13" s="179"/>
      <c r="Z13" s="196"/>
      <c r="AA13" s="196"/>
      <c r="AB13" s="179"/>
      <c r="AC13" s="179"/>
      <c r="AD13" s="179"/>
      <c r="AE13" s="179"/>
      <c r="AF13" s="179"/>
      <c r="AG13" s="179"/>
      <c r="AH13" s="179"/>
    </row>
    <row r="14" spans="1:34" ht="15.5" x14ac:dyDescent="0.35">
      <c r="A14" s="182">
        <v>5</v>
      </c>
      <c r="B14" s="24">
        <v>222301006</v>
      </c>
      <c r="C14" s="129" t="s">
        <v>132</v>
      </c>
      <c r="D14" s="183" t="s">
        <v>26</v>
      </c>
      <c r="E14" s="183"/>
      <c r="F14" s="184" t="s">
        <v>37</v>
      </c>
      <c r="G14" s="185">
        <v>80</v>
      </c>
      <c r="H14" s="2">
        <v>85</v>
      </c>
      <c r="I14" s="2">
        <v>82</v>
      </c>
      <c r="J14" s="100">
        <v>75</v>
      </c>
      <c r="K14" s="22">
        <v>82</v>
      </c>
      <c r="L14" s="22">
        <f t="shared" si="1"/>
        <v>78.5</v>
      </c>
      <c r="M14" s="19">
        <f t="shared" si="2"/>
        <v>86.298245614035082</v>
      </c>
      <c r="N14" s="186">
        <f t="shared" si="3"/>
        <v>82.424999999999997</v>
      </c>
      <c r="O14" s="179"/>
      <c r="P14" s="2">
        <f t="shared" si="4"/>
        <v>82</v>
      </c>
      <c r="Q14" s="22">
        <v>0</v>
      </c>
      <c r="R14" s="19">
        <f t="shared" si="5"/>
        <v>86.478260869565219</v>
      </c>
      <c r="S14" s="186">
        <f t="shared" si="6"/>
        <v>62.8</v>
      </c>
      <c r="T14" s="179"/>
      <c r="U14" s="2">
        <v>0</v>
      </c>
      <c r="V14" s="22">
        <v>0</v>
      </c>
      <c r="W14" s="19" t="e">
        <f t="shared" si="0"/>
        <v>#DIV/0!</v>
      </c>
      <c r="X14" s="186" t="e">
        <f t="shared" si="7"/>
        <v>#DIV/0!</v>
      </c>
      <c r="Y14" s="179"/>
      <c r="Z14" s="196"/>
      <c r="AA14" s="196"/>
      <c r="AB14" s="196"/>
      <c r="AC14" s="196"/>
      <c r="AD14" s="196"/>
      <c r="AE14" s="196"/>
      <c r="AF14" s="196"/>
      <c r="AG14" s="179"/>
      <c r="AH14" s="179"/>
    </row>
    <row r="15" spans="1:34" ht="15.5" x14ac:dyDescent="0.35">
      <c r="A15" s="182">
        <v>6</v>
      </c>
      <c r="B15" s="24">
        <v>222301007</v>
      </c>
      <c r="C15" s="129" t="s">
        <v>133</v>
      </c>
      <c r="D15" s="183" t="s">
        <v>26</v>
      </c>
      <c r="E15" s="183"/>
      <c r="F15" s="184" t="s">
        <v>37</v>
      </c>
      <c r="G15" s="185">
        <v>80</v>
      </c>
      <c r="H15" s="2">
        <v>77</v>
      </c>
      <c r="I15" s="2">
        <v>80</v>
      </c>
      <c r="J15" s="101">
        <v>81</v>
      </c>
      <c r="K15" s="22">
        <v>83</v>
      </c>
      <c r="L15" s="22">
        <f t="shared" si="1"/>
        <v>82</v>
      </c>
      <c r="M15" s="19">
        <f t="shared" si="2"/>
        <v>85.69736842105263</v>
      </c>
      <c r="N15" s="186">
        <f t="shared" si="3"/>
        <v>79</v>
      </c>
      <c r="O15" s="179"/>
      <c r="P15" s="2">
        <f t="shared" si="4"/>
        <v>80</v>
      </c>
      <c r="Q15" s="22">
        <v>0</v>
      </c>
      <c r="R15" s="19">
        <f t="shared" si="5"/>
        <v>85.580869565217398</v>
      </c>
      <c r="S15" s="186">
        <f t="shared" si="6"/>
        <v>58.5</v>
      </c>
      <c r="T15" s="179"/>
      <c r="U15" s="2">
        <v>0</v>
      </c>
      <c r="V15" s="22">
        <v>0</v>
      </c>
      <c r="W15" s="19" t="e">
        <f t="shared" si="0"/>
        <v>#DIV/0!</v>
      </c>
      <c r="X15" s="186" t="e">
        <f t="shared" si="7"/>
        <v>#DIV/0!</v>
      </c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</row>
    <row r="16" spans="1:34" ht="15.5" x14ac:dyDescent="0.35">
      <c r="A16" s="182">
        <v>7</v>
      </c>
      <c r="B16" s="24">
        <v>222301008</v>
      </c>
      <c r="C16" s="129" t="s">
        <v>134</v>
      </c>
      <c r="D16" s="183" t="s">
        <v>26</v>
      </c>
      <c r="E16" s="187"/>
      <c r="F16" s="184" t="s">
        <v>37</v>
      </c>
      <c r="G16" s="185">
        <v>80</v>
      </c>
      <c r="H16" s="2">
        <v>85</v>
      </c>
      <c r="I16" s="2">
        <v>82</v>
      </c>
      <c r="J16" s="100">
        <v>71</v>
      </c>
      <c r="K16" s="22">
        <v>79</v>
      </c>
      <c r="L16" s="22">
        <f t="shared" si="1"/>
        <v>75</v>
      </c>
      <c r="M16" s="19">
        <f t="shared" si="2"/>
        <v>86.14473684210526</v>
      </c>
      <c r="N16" s="186">
        <f t="shared" si="3"/>
        <v>81.55</v>
      </c>
      <c r="O16" s="179"/>
      <c r="P16" s="2">
        <f t="shared" si="4"/>
        <v>82</v>
      </c>
      <c r="Q16" s="22">
        <v>0</v>
      </c>
      <c r="R16" s="19">
        <f t="shared" si="5"/>
        <v>86.478260869565219</v>
      </c>
      <c r="S16" s="186">
        <f t="shared" si="6"/>
        <v>62.8</v>
      </c>
      <c r="T16" s="179"/>
      <c r="U16" s="2">
        <v>0</v>
      </c>
      <c r="V16" s="22">
        <v>0</v>
      </c>
      <c r="W16" s="19" t="e">
        <f t="shared" si="0"/>
        <v>#DIV/0!</v>
      </c>
      <c r="X16" s="186" t="e">
        <f t="shared" si="7"/>
        <v>#DIV/0!</v>
      </c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</row>
    <row r="17" spans="1:34" ht="15.5" x14ac:dyDescent="0.35">
      <c r="A17" s="182">
        <v>8</v>
      </c>
      <c r="B17" s="24">
        <v>222301009</v>
      </c>
      <c r="C17" s="129" t="s">
        <v>135</v>
      </c>
      <c r="D17" s="183" t="s">
        <v>26</v>
      </c>
      <c r="E17" s="187"/>
      <c r="F17" s="184" t="s">
        <v>37</v>
      </c>
      <c r="G17" s="185">
        <v>80</v>
      </c>
      <c r="H17" s="2">
        <v>85</v>
      </c>
      <c r="I17" s="2">
        <v>82</v>
      </c>
      <c r="J17" s="100">
        <v>79</v>
      </c>
      <c r="K17" s="22">
        <v>80</v>
      </c>
      <c r="L17" s="22">
        <f t="shared" si="1"/>
        <v>79.5</v>
      </c>
      <c r="M17" s="19">
        <f t="shared" si="2"/>
        <v>86.34210526315789</v>
      </c>
      <c r="N17" s="186">
        <f t="shared" si="3"/>
        <v>82.674999999999997</v>
      </c>
      <c r="O17" s="179"/>
      <c r="P17" s="2">
        <f t="shared" si="4"/>
        <v>82</v>
      </c>
      <c r="Q17" s="22">
        <v>0</v>
      </c>
      <c r="R17" s="19">
        <f t="shared" si="5"/>
        <v>86.478260869565219</v>
      </c>
      <c r="S17" s="186">
        <f t="shared" si="6"/>
        <v>62.8</v>
      </c>
      <c r="T17" s="179"/>
      <c r="U17" s="2">
        <v>0</v>
      </c>
      <c r="V17" s="22">
        <v>0</v>
      </c>
      <c r="W17" s="19" t="e">
        <f t="shared" si="0"/>
        <v>#DIV/0!</v>
      </c>
      <c r="X17" s="186" t="e">
        <f t="shared" si="7"/>
        <v>#DIV/0!</v>
      </c>
      <c r="Y17" s="179"/>
      <c r="Z17" s="196"/>
      <c r="AA17" s="196"/>
      <c r="AB17" s="196"/>
      <c r="AC17" s="179"/>
      <c r="AD17" s="179"/>
      <c r="AE17" s="179"/>
      <c r="AF17" s="179"/>
      <c r="AG17" s="179"/>
      <c r="AH17" s="179"/>
    </row>
    <row r="18" spans="1:34" ht="15.5" x14ac:dyDescent="0.35">
      <c r="A18" s="182">
        <v>9</v>
      </c>
      <c r="B18" s="24">
        <v>222301010</v>
      </c>
      <c r="C18" s="129" t="s">
        <v>136</v>
      </c>
      <c r="D18" s="183" t="s">
        <v>26</v>
      </c>
      <c r="E18" s="188"/>
      <c r="F18" s="184" t="s">
        <v>37</v>
      </c>
      <c r="G18" s="185">
        <v>80</v>
      </c>
      <c r="H18" s="2">
        <v>85</v>
      </c>
      <c r="I18" s="2">
        <v>82</v>
      </c>
      <c r="J18" s="101">
        <v>75</v>
      </c>
      <c r="K18" s="22">
        <v>82</v>
      </c>
      <c r="L18" s="22">
        <f t="shared" si="1"/>
        <v>78.5</v>
      </c>
      <c r="M18" s="19">
        <f t="shared" si="2"/>
        <v>86.298245614035082</v>
      </c>
      <c r="N18" s="186">
        <f t="shared" si="3"/>
        <v>82.424999999999997</v>
      </c>
      <c r="O18" s="179"/>
      <c r="P18" s="2">
        <f t="shared" si="4"/>
        <v>82</v>
      </c>
      <c r="Q18" s="22">
        <v>0</v>
      </c>
      <c r="R18" s="19">
        <f t="shared" si="5"/>
        <v>86.478260869565219</v>
      </c>
      <c r="S18" s="186">
        <f t="shared" si="6"/>
        <v>62.8</v>
      </c>
      <c r="T18" s="179"/>
      <c r="U18" s="2">
        <v>0</v>
      </c>
      <c r="V18" s="22">
        <v>0</v>
      </c>
      <c r="W18" s="19" t="e">
        <f t="shared" si="0"/>
        <v>#DIV/0!</v>
      </c>
      <c r="X18" s="186" t="e">
        <f t="shared" si="7"/>
        <v>#DIV/0!</v>
      </c>
      <c r="Y18" s="179"/>
      <c r="Z18" s="196"/>
      <c r="AA18" s="196"/>
      <c r="AB18" s="196"/>
      <c r="AC18" s="196"/>
      <c r="AD18" s="196"/>
      <c r="AE18" s="196"/>
      <c r="AF18" s="196"/>
      <c r="AG18" s="179"/>
      <c r="AH18" s="179"/>
    </row>
    <row r="19" spans="1:34" ht="15.5" x14ac:dyDescent="0.35">
      <c r="A19" s="182">
        <v>10</v>
      </c>
      <c r="B19" s="24">
        <v>222301011</v>
      </c>
      <c r="C19" s="129" t="s">
        <v>137</v>
      </c>
      <c r="D19" s="183" t="s">
        <v>26</v>
      </c>
      <c r="E19" s="183"/>
      <c r="F19" s="184" t="s">
        <v>37</v>
      </c>
      <c r="G19" s="185">
        <v>80</v>
      </c>
      <c r="H19" s="2">
        <v>77</v>
      </c>
      <c r="I19" s="117">
        <v>0</v>
      </c>
      <c r="J19" s="115">
        <v>0</v>
      </c>
      <c r="K19" s="22">
        <v>75</v>
      </c>
      <c r="L19" s="22">
        <f t="shared" si="1"/>
        <v>37.5</v>
      </c>
      <c r="M19" s="19">
        <f t="shared" si="2"/>
        <v>81.640350877192986</v>
      </c>
      <c r="N19" s="186">
        <f t="shared" si="3"/>
        <v>55.875</v>
      </c>
      <c r="O19" s="179"/>
      <c r="P19" s="2">
        <f t="shared" si="4"/>
        <v>0</v>
      </c>
      <c r="Q19" s="22">
        <v>0</v>
      </c>
      <c r="R19" s="19">
        <f t="shared" si="5"/>
        <v>83.076521739130442</v>
      </c>
      <c r="S19" s="186">
        <f t="shared" si="6"/>
        <v>46.5</v>
      </c>
      <c r="T19" s="179"/>
      <c r="U19" s="2">
        <v>0</v>
      </c>
      <c r="V19" s="22">
        <v>0</v>
      </c>
      <c r="W19" s="19" t="e">
        <f t="shared" si="0"/>
        <v>#DIV/0!</v>
      </c>
      <c r="X19" s="186" t="e">
        <f t="shared" si="7"/>
        <v>#DIV/0!</v>
      </c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</row>
    <row r="20" spans="1:34" ht="15.5" x14ac:dyDescent="0.35">
      <c r="A20" s="182">
        <v>11</v>
      </c>
      <c r="B20" s="24">
        <v>222301012</v>
      </c>
      <c r="C20" s="129" t="s">
        <v>138</v>
      </c>
      <c r="D20" s="183" t="s">
        <v>26</v>
      </c>
      <c r="E20" s="183"/>
      <c r="F20" s="184" t="s">
        <v>37</v>
      </c>
      <c r="G20" s="185">
        <v>80</v>
      </c>
      <c r="H20" s="2">
        <v>77</v>
      </c>
      <c r="I20" s="117">
        <v>0</v>
      </c>
      <c r="J20" s="100">
        <v>79</v>
      </c>
      <c r="K20" s="22">
        <v>81</v>
      </c>
      <c r="L20" s="22">
        <f t="shared" si="1"/>
        <v>80</v>
      </c>
      <c r="M20" s="19">
        <f t="shared" si="2"/>
        <v>83.504385964912274</v>
      </c>
      <c r="N20" s="186">
        <f t="shared" si="3"/>
        <v>66.5</v>
      </c>
      <c r="O20" s="179"/>
      <c r="P20" s="2">
        <f t="shared" si="4"/>
        <v>0</v>
      </c>
      <c r="Q20" s="22">
        <v>0</v>
      </c>
      <c r="R20" s="19">
        <f t="shared" si="5"/>
        <v>83.076521739130442</v>
      </c>
      <c r="S20" s="186">
        <f t="shared" si="6"/>
        <v>46.5</v>
      </c>
      <c r="T20" s="179"/>
      <c r="U20" s="2">
        <v>0</v>
      </c>
      <c r="V20" s="22">
        <v>0</v>
      </c>
      <c r="W20" s="19" t="e">
        <f t="shared" si="0"/>
        <v>#DIV/0!</v>
      </c>
      <c r="X20" s="186" t="e">
        <f t="shared" si="7"/>
        <v>#DIV/0!</v>
      </c>
      <c r="Y20" s="179"/>
      <c r="Z20" s="196"/>
      <c r="AA20" s="196"/>
      <c r="AB20" s="179"/>
      <c r="AC20" s="179"/>
      <c r="AD20" s="179"/>
      <c r="AE20" s="179"/>
      <c r="AF20" s="179"/>
      <c r="AG20" s="179"/>
      <c r="AH20" s="179"/>
    </row>
    <row r="21" spans="1:34" ht="15.5" x14ac:dyDescent="0.35">
      <c r="A21" s="182">
        <v>12</v>
      </c>
      <c r="B21" s="24">
        <v>222301013</v>
      </c>
      <c r="C21" s="129" t="s">
        <v>139</v>
      </c>
      <c r="D21" s="183"/>
      <c r="E21" s="183" t="s">
        <v>26</v>
      </c>
      <c r="F21" s="184" t="s">
        <v>37</v>
      </c>
      <c r="G21" s="185">
        <v>80</v>
      </c>
      <c r="H21" s="2">
        <v>90</v>
      </c>
      <c r="I21" s="2">
        <v>82</v>
      </c>
      <c r="J21" s="100">
        <v>81</v>
      </c>
      <c r="K21" s="22">
        <v>88</v>
      </c>
      <c r="L21" s="22">
        <f t="shared" si="1"/>
        <v>84.5</v>
      </c>
      <c r="M21" s="19">
        <f t="shared" si="2"/>
        <v>87</v>
      </c>
      <c r="N21" s="186">
        <f t="shared" si="3"/>
        <v>86.424999999999997</v>
      </c>
      <c r="O21" s="179"/>
      <c r="P21" s="2">
        <f t="shared" si="4"/>
        <v>82</v>
      </c>
      <c r="Q21" s="22">
        <v>0</v>
      </c>
      <c r="R21" s="19">
        <f t="shared" si="5"/>
        <v>87</v>
      </c>
      <c r="S21" s="186">
        <f t="shared" si="6"/>
        <v>65.3</v>
      </c>
      <c r="T21" s="179"/>
      <c r="U21" s="2">
        <v>0</v>
      </c>
      <c r="V21" s="22">
        <v>0</v>
      </c>
      <c r="W21" s="19" t="e">
        <f t="shared" si="0"/>
        <v>#DIV/0!</v>
      </c>
      <c r="X21" s="186" t="e">
        <f t="shared" si="7"/>
        <v>#DIV/0!</v>
      </c>
      <c r="Y21" s="179"/>
      <c r="Z21" s="196"/>
      <c r="AA21" s="196"/>
      <c r="AB21" s="196"/>
      <c r="AC21" s="179"/>
      <c r="AD21" s="179"/>
      <c r="AE21" s="179"/>
      <c r="AF21" s="179"/>
      <c r="AG21" s="179"/>
      <c r="AH21" s="179"/>
    </row>
    <row r="22" spans="1:34" ht="15.5" x14ac:dyDescent="0.35">
      <c r="A22" s="182">
        <v>13</v>
      </c>
      <c r="B22" s="24">
        <v>222301014</v>
      </c>
      <c r="C22" s="129" t="s">
        <v>140</v>
      </c>
      <c r="D22" s="183" t="s">
        <v>26</v>
      </c>
      <c r="E22" s="183"/>
      <c r="F22" s="184" t="s">
        <v>37</v>
      </c>
      <c r="G22" s="185">
        <v>80</v>
      </c>
      <c r="H22" s="2">
        <v>85</v>
      </c>
      <c r="I22" s="2">
        <v>83</v>
      </c>
      <c r="J22" s="101">
        <v>81</v>
      </c>
      <c r="K22" s="22">
        <v>85</v>
      </c>
      <c r="L22" s="22">
        <f t="shared" si="1"/>
        <v>83</v>
      </c>
      <c r="M22" s="19">
        <f t="shared" si="2"/>
        <v>86.521929824561397</v>
      </c>
      <c r="N22" s="186">
        <f t="shared" si="3"/>
        <v>83.7</v>
      </c>
      <c r="O22" s="179"/>
      <c r="P22" s="2">
        <f t="shared" si="4"/>
        <v>83</v>
      </c>
      <c r="Q22" s="22">
        <v>0</v>
      </c>
      <c r="R22" s="19">
        <f t="shared" si="5"/>
        <v>86.509565217391298</v>
      </c>
      <c r="S22" s="186">
        <f t="shared" si="6"/>
        <v>62.95</v>
      </c>
      <c r="T22" s="179"/>
      <c r="U22" s="2">
        <v>0</v>
      </c>
      <c r="V22" s="22">
        <v>0</v>
      </c>
      <c r="W22" s="19" t="e">
        <f t="shared" si="0"/>
        <v>#DIV/0!</v>
      </c>
      <c r="X22" s="186" t="e">
        <f t="shared" si="7"/>
        <v>#DIV/0!</v>
      </c>
      <c r="Y22" s="179"/>
      <c r="Z22" s="196"/>
      <c r="AA22" s="196"/>
      <c r="AB22" s="196"/>
      <c r="AC22" s="196"/>
      <c r="AD22" s="196"/>
      <c r="AE22" s="196"/>
      <c r="AF22" s="196"/>
      <c r="AG22" s="179"/>
      <c r="AH22" s="179"/>
    </row>
    <row r="23" spans="1:34" s="58" customFormat="1" ht="15.5" x14ac:dyDescent="0.35">
      <c r="A23" s="189">
        <v>14</v>
      </c>
      <c r="B23" s="63">
        <v>222301015</v>
      </c>
      <c r="C23" s="126" t="s">
        <v>141</v>
      </c>
      <c r="D23" s="190"/>
      <c r="E23" s="190" t="s">
        <v>26</v>
      </c>
      <c r="F23" s="191" t="s">
        <v>37</v>
      </c>
      <c r="G23" s="192">
        <v>77</v>
      </c>
      <c r="H23" s="69">
        <v>77</v>
      </c>
      <c r="I23" s="69">
        <v>0</v>
      </c>
      <c r="J23" s="122">
        <v>81</v>
      </c>
      <c r="K23" s="70">
        <v>70</v>
      </c>
      <c r="L23" s="70">
        <f t="shared" si="1"/>
        <v>75.5</v>
      </c>
      <c r="M23" s="71">
        <f t="shared" si="2"/>
        <v>83.254385964912274</v>
      </c>
      <c r="N23" s="71">
        <f t="shared" si="3"/>
        <v>65.075000000000003</v>
      </c>
      <c r="O23" s="193"/>
      <c r="P23" s="69">
        <f t="shared" si="4"/>
        <v>0</v>
      </c>
      <c r="Q23" s="70">
        <v>0</v>
      </c>
      <c r="R23" s="71">
        <f t="shared" si="5"/>
        <v>83.013913043478254</v>
      </c>
      <c r="S23" s="71">
        <f t="shared" si="6"/>
        <v>46.2</v>
      </c>
      <c r="T23" s="193"/>
      <c r="U23" s="69">
        <v>0</v>
      </c>
      <c r="V23" s="70">
        <v>0</v>
      </c>
      <c r="W23" s="71" t="e">
        <f t="shared" si="0"/>
        <v>#DIV/0!</v>
      </c>
      <c r="X23" s="71" t="e">
        <f t="shared" si="7"/>
        <v>#DIV/0!</v>
      </c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</row>
    <row r="24" spans="1:34" ht="15.5" x14ac:dyDescent="0.35">
      <c r="A24" s="182">
        <v>15</v>
      </c>
      <c r="B24" s="26">
        <v>222301017</v>
      </c>
      <c r="C24" s="129" t="s">
        <v>142</v>
      </c>
      <c r="D24" s="183"/>
      <c r="E24" s="183" t="s">
        <v>26</v>
      </c>
      <c r="F24" s="184" t="s">
        <v>178</v>
      </c>
      <c r="G24" s="185">
        <v>83</v>
      </c>
      <c r="H24" s="2">
        <v>12</v>
      </c>
      <c r="I24" s="2">
        <v>78</v>
      </c>
      <c r="J24" s="102">
        <v>83</v>
      </c>
      <c r="K24" s="22">
        <v>82</v>
      </c>
      <c r="L24" s="22">
        <f t="shared" si="1"/>
        <v>82.5</v>
      </c>
      <c r="M24" s="19">
        <f t="shared" si="2"/>
        <v>80.017543859649123</v>
      </c>
      <c r="N24" s="186">
        <f t="shared" si="3"/>
        <v>46.625</v>
      </c>
      <c r="O24" s="179"/>
      <c r="P24" s="2">
        <f t="shared" si="4"/>
        <v>78</v>
      </c>
      <c r="Q24" s="22">
        <v>0</v>
      </c>
      <c r="R24" s="19">
        <f t="shared" si="5"/>
        <v>78.798260869565212</v>
      </c>
      <c r="S24" s="186">
        <f t="shared" si="6"/>
        <v>26</v>
      </c>
      <c r="T24" s="179"/>
      <c r="U24" s="2">
        <v>0</v>
      </c>
      <c r="V24" s="22">
        <v>0</v>
      </c>
      <c r="W24" s="19" t="e">
        <f t="shared" si="0"/>
        <v>#DIV/0!</v>
      </c>
      <c r="X24" s="186" t="e">
        <f t="shared" si="7"/>
        <v>#DIV/0!</v>
      </c>
      <c r="Y24" s="179"/>
      <c r="Z24" s="196"/>
      <c r="AA24" s="179"/>
      <c r="AB24" s="179"/>
      <c r="AC24" s="179"/>
      <c r="AD24" s="179"/>
      <c r="AE24" s="179"/>
      <c r="AF24" s="179"/>
      <c r="AG24" s="179"/>
      <c r="AH24" s="194"/>
    </row>
    <row r="25" spans="1:34" ht="15.5" x14ac:dyDescent="0.35">
      <c r="A25" s="182">
        <v>16</v>
      </c>
      <c r="B25" s="26">
        <v>222301018</v>
      </c>
      <c r="C25" s="129" t="s">
        <v>143</v>
      </c>
      <c r="D25" s="183"/>
      <c r="E25" s="183" t="s">
        <v>26</v>
      </c>
      <c r="F25" s="184" t="s">
        <v>178</v>
      </c>
      <c r="G25" s="185">
        <v>83</v>
      </c>
      <c r="H25" s="2">
        <v>35</v>
      </c>
      <c r="I25" s="2">
        <v>20</v>
      </c>
      <c r="J25" s="102">
        <v>81</v>
      </c>
      <c r="K25" s="22">
        <v>88</v>
      </c>
      <c r="L25" s="22">
        <f t="shared" si="1"/>
        <v>84.5</v>
      </c>
      <c r="M25" s="19">
        <f t="shared" si="2"/>
        <v>80.596491228070178</v>
      </c>
      <c r="N25" s="186">
        <f t="shared" si="3"/>
        <v>49.924999999999997</v>
      </c>
      <c r="O25" s="179"/>
      <c r="P25" s="2">
        <f t="shared" si="4"/>
        <v>20</v>
      </c>
      <c r="Q25" s="22">
        <v>0</v>
      </c>
      <c r="R25" s="19">
        <f t="shared" si="5"/>
        <v>79.382608695652181</v>
      </c>
      <c r="S25" s="186">
        <f t="shared" si="6"/>
        <v>28.8</v>
      </c>
      <c r="T25" s="179"/>
      <c r="U25" s="2">
        <v>0</v>
      </c>
      <c r="V25" s="22">
        <v>0</v>
      </c>
      <c r="W25" s="19" t="e">
        <f t="shared" si="0"/>
        <v>#DIV/0!</v>
      </c>
      <c r="X25" s="186" t="e">
        <f t="shared" si="7"/>
        <v>#DIV/0!</v>
      </c>
      <c r="Y25" s="179"/>
      <c r="Z25" s="196"/>
      <c r="AA25" s="196"/>
      <c r="AB25" s="179"/>
      <c r="AC25" s="179"/>
      <c r="AD25" s="179"/>
      <c r="AE25" s="179"/>
      <c r="AF25" s="179"/>
      <c r="AG25" s="179"/>
      <c r="AH25" s="194"/>
    </row>
    <row r="26" spans="1:34" ht="15.5" x14ac:dyDescent="0.35">
      <c r="A26" s="182">
        <v>17</v>
      </c>
      <c r="B26" s="26">
        <v>222301019</v>
      </c>
      <c r="C26" s="129" t="s">
        <v>144</v>
      </c>
      <c r="D26" s="183"/>
      <c r="E26" s="183" t="s">
        <v>26</v>
      </c>
      <c r="F26" s="184" t="s">
        <v>178</v>
      </c>
      <c r="G26" s="185">
        <v>83</v>
      </c>
      <c r="H26" s="2">
        <v>62</v>
      </c>
      <c r="I26" s="2">
        <v>60</v>
      </c>
      <c r="J26" s="103">
        <v>79</v>
      </c>
      <c r="K26" s="22">
        <v>81</v>
      </c>
      <c r="L26" s="22">
        <f t="shared" si="1"/>
        <v>80</v>
      </c>
      <c r="M26" s="19">
        <f t="shared" si="2"/>
        <v>83.820175438596493</v>
      </c>
      <c r="N26" s="186">
        <f t="shared" si="3"/>
        <v>68.3</v>
      </c>
      <c r="O26" s="179"/>
      <c r="P26" s="2">
        <f t="shared" si="4"/>
        <v>60</v>
      </c>
      <c r="Q26" s="22">
        <v>0</v>
      </c>
      <c r="R26" s="19">
        <f t="shared" si="5"/>
        <v>83.452173913043481</v>
      </c>
      <c r="S26" s="186">
        <f t="shared" si="6"/>
        <v>48.3</v>
      </c>
      <c r="T26" s="179"/>
      <c r="U26" s="2">
        <v>0</v>
      </c>
      <c r="V26" s="22">
        <v>0</v>
      </c>
      <c r="W26" s="19" t="e">
        <f t="shared" si="0"/>
        <v>#DIV/0!</v>
      </c>
      <c r="X26" s="186" t="e">
        <f t="shared" si="7"/>
        <v>#DIV/0!</v>
      </c>
      <c r="Y26" s="179"/>
      <c r="Z26" s="196"/>
      <c r="AA26" s="196"/>
      <c r="AB26" s="196"/>
      <c r="AC26" s="196"/>
      <c r="AD26" s="196"/>
      <c r="AE26" s="196"/>
      <c r="AF26" s="196"/>
      <c r="AG26" s="196"/>
      <c r="AH26" s="194"/>
    </row>
    <row r="27" spans="1:34" ht="15.5" x14ac:dyDescent="0.35">
      <c r="A27" s="182">
        <v>18</v>
      </c>
      <c r="B27" s="26">
        <v>222301020</v>
      </c>
      <c r="C27" s="129" t="s">
        <v>145</v>
      </c>
      <c r="D27" s="183" t="s">
        <v>26</v>
      </c>
      <c r="E27" s="183"/>
      <c r="F27" s="184" t="s">
        <v>178</v>
      </c>
      <c r="G27" s="185">
        <v>79</v>
      </c>
      <c r="H27" s="2">
        <v>39</v>
      </c>
      <c r="I27" s="2">
        <v>25</v>
      </c>
      <c r="J27" s="103">
        <v>79</v>
      </c>
      <c r="K27" s="22">
        <v>85</v>
      </c>
      <c r="L27" s="22">
        <f t="shared" si="1"/>
        <v>82</v>
      </c>
      <c r="M27" s="19">
        <f t="shared" si="2"/>
        <v>80.899122807017548</v>
      </c>
      <c r="N27" s="186">
        <f t="shared" si="3"/>
        <v>51.65</v>
      </c>
      <c r="O27" s="179"/>
      <c r="P27" s="2">
        <f t="shared" si="4"/>
        <v>25</v>
      </c>
      <c r="Q27" s="22">
        <v>0</v>
      </c>
      <c r="R27" s="19">
        <f t="shared" si="5"/>
        <v>79.873043478260868</v>
      </c>
      <c r="S27" s="186">
        <f t="shared" si="6"/>
        <v>31.15</v>
      </c>
      <c r="T27" s="179"/>
      <c r="U27" s="2">
        <v>0</v>
      </c>
      <c r="V27" s="22">
        <v>0</v>
      </c>
      <c r="W27" s="19" t="e">
        <f t="shared" si="0"/>
        <v>#DIV/0!</v>
      </c>
      <c r="X27" s="186" t="e">
        <f t="shared" si="7"/>
        <v>#DIV/0!</v>
      </c>
      <c r="Y27" s="179"/>
      <c r="Z27" s="196"/>
      <c r="AA27" s="196"/>
      <c r="AB27" s="390" t="s">
        <v>230</v>
      </c>
      <c r="AC27" s="391"/>
      <c r="AD27" s="391"/>
      <c r="AE27" s="391"/>
      <c r="AF27" s="392"/>
      <c r="AG27" s="179"/>
      <c r="AH27" s="194"/>
    </row>
    <row r="28" spans="1:34" ht="15.5" x14ac:dyDescent="0.35">
      <c r="A28" s="182">
        <v>19</v>
      </c>
      <c r="B28" s="26">
        <v>222301021</v>
      </c>
      <c r="C28" s="129" t="s">
        <v>146</v>
      </c>
      <c r="D28" s="183" t="s">
        <v>26</v>
      </c>
      <c r="E28" s="183"/>
      <c r="F28" s="184" t="s">
        <v>178</v>
      </c>
      <c r="G28" s="185">
        <v>83</v>
      </c>
      <c r="H28" s="2">
        <v>23</v>
      </c>
      <c r="I28" s="2">
        <v>42</v>
      </c>
      <c r="J28" s="103">
        <v>81</v>
      </c>
      <c r="K28" s="118">
        <v>0</v>
      </c>
      <c r="L28" s="22">
        <f t="shared" si="1"/>
        <v>40.5</v>
      </c>
      <c r="M28" s="19">
        <f t="shared" si="2"/>
        <v>78.192982456140356</v>
      </c>
      <c r="N28" s="186">
        <f t="shared" si="3"/>
        <v>36.225000000000001</v>
      </c>
      <c r="O28" s="179"/>
      <c r="P28" s="2">
        <f t="shared" si="4"/>
        <v>42</v>
      </c>
      <c r="Q28" s="22">
        <v>0</v>
      </c>
      <c r="R28" s="19">
        <f t="shared" si="5"/>
        <v>78.819130434782608</v>
      </c>
      <c r="S28" s="186">
        <f t="shared" si="6"/>
        <v>26.1</v>
      </c>
      <c r="T28" s="179"/>
      <c r="U28" s="2">
        <v>0</v>
      </c>
      <c r="V28" s="22">
        <v>0</v>
      </c>
      <c r="W28" s="19" t="e">
        <f t="shared" si="0"/>
        <v>#DIV/0!</v>
      </c>
      <c r="X28" s="186" t="e">
        <f t="shared" si="7"/>
        <v>#DIV/0!</v>
      </c>
      <c r="Y28" s="179"/>
      <c r="Z28" s="196"/>
      <c r="AA28" s="196"/>
      <c r="AB28" s="179"/>
      <c r="AC28" s="179"/>
      <c r="AD28" s="179"/>
      <c r="AE28" s="179"/>
      <c r="AF28" s="179"/>
      <c r="AG28" s="179"/>
      <c r="AH28" s="194"/>
    </row>
    <row r="29" spans="1:34" ht="15.5" x14ac:dyDescent="0.35">
      <c r="A29" s="182">
        <v>20</v>
      </c>
      <c r="B29" s="26">
        <v>222301023</v>
      </c>
      <c r="C29" s="129" t="s">
        <v>147</v>
      </c>
      <c r="D29" s="183" t="s">
        <v>26</v>
      </c>
      <c r="E29" s="183"/>
      <c r="F29" s="184" t="s">
        <v>178</v>
      </c>
      <c r="G29" s="185">
        <v>83</v>
      </c>
      <c r="H29" s="2">
        <v>35</v>
      </c>
      <c r="I29" s="2">
        <v>36</v>
      </c>
      <c r="J29" s="102">
        <v>67</v>
      </c>
      <c r="K29" s="22">
        <v>82</v>
      </c>
      <c r="L29" s="22">
        <f t="shared" si="1"/>
        <v>74.5</v>
      </c>
      <c r="M29" s="19">
        <f t="shared" si="2"/>
        <v>80.578947368421055</v>
      </c>
      <c r="N29" s="186">
        <f t="shared" si="3"/>
        <v>49.825000000000003</v>
      </c>
      <c r="O29" s="179"/>
      <c r="P29" s="2">
        <f t="shared" si="4"/>
        <v>36</v>
      </c>
      <c r="Q29" s="22">
        <v>0</v>
      </c>
      <c r="R29" s="19">
        <f t="shared" si="5"/>
        <v>79.883478260869566</v>
      </c>
      <c r="S29" s="186">
        <f t="shared" si="6"/>
        <v>31.2</v>
      </c>
      <c r="T29" s="179"/>
      <c r="U29" s="2">
        <v>0</v>
      </c>
      <c r="V29" s="22">
        <v>0</v>
      </c>
      <c r="W29" s="19" t="e">
        <f t="shared" si="0"/>
        <v>#DIV/0!</v>
      </c>
      <c r="X29" s="186" t="e">
        <f t="shared" si="7"/>
        <v>#DIV/0!</v>
      </c>
      <c r="Y29" s="179"/>
      <c r="Z29" s="196"/>
      <c r="AA29" s="196"/>
      <c r="AB29" s="179"/>
      <c r="AC29" s="179"/>
      <c r="AD29" s="179"/>
      <c r="AE29" s="179"/>
      <c r="AF29" s="179"/>
      <c r="AG29" s="179"/>
      <c r="AH29" s="194"/>
    </row>
    <row r="30" spans="1:34" ht="15.5" x14ac:dyDescent="0.35">
      <c r="A30" s="182">
        <v>21</v>
      </c>
      <c r="B30" s="26">
        <v>222301024</v>
      </c>
      <c r="C30" s="129" t="s">
        <v>148</v>
      </c>
      <c r="D30" s="183" t="s">
        <v>26</v>
      </c>
      <c r="E30" s="183"/>
      <c r="F30" s="184" t="s">
        <v>178</v>
      </c>
      <c r="G30" s="185">
        <v>78</v>
      </c>
      <c r="H30" s="2">
        <v>0</v>
      </c>
      <c r="I30" s="117">
        <v>0</v>
      </c>
      <c r="J30" s="103">
        <v>83</v>
      </c>
      <c r="K30" s="118">
        <v>0</v>
      </c>
      <c r="L30" s="22">
        <f t="shared" si="1"/>
        <v>41.5</v>
      </c>
      <c r="M30" s="19">
        <f t="shared" si="2"/>
        <v>75.026315789473685</v>
      </c>
      <c r="N30" s="186">
        <f t="shared" si="3"/>
        <v>18.175000000000001</v>
      </c>
      <c r="O30" s="179"/>
      <c r="P30" s="2">
        <f t="shared" si="4"/>
        <v>0</v>
      </c>
      <c r="Q30" s="22">
        <v>0</v>
      </c>
      <c r="R30" s="19">
        <f t="shared" si="5"/>
        <v>75</v>
      </c>
      <c r="S30" s="186">
        <f t="shared" si="6"/>
        <v>7.8000000000000007</v>
      </c>
      <c r="T30" s="179"/>
      <c r="U30" s="2">
        <v>0</v>
      </c>
      <c r="V30" s="22">
        <v>0</v>
      </c>
      <c r="W30" s="19" t="e">
        <f t="shared" si="0"/>
        <v>#DIV/0!</v>
      </c>
      <c r="X30" s="186" t="e">
        <f t="shared" si="7"/>
        <v>#DIV/0!</v>
      </c>
      <c r="Y30" s="179"/>
      <c r="Z30" s="179"/>
      <c r="AA30" s="179"/>
      <c r="AB30" s="179"/>
      <c r="AC30" s="179"/>
      <c r="AD30" s="179"/>
      <c r="AE30" s="179"/>
      <c r="AF30" s="179"/>
      <c r="AG30" s="179"/>
      <c r="AH30" s="194"/>
    </row>
    <row r="31" spans="1:34" ht="15.5" x14ac:dyDescent="0.35">
      <c r="A31" s="182">
        <v>22</v>
      </c>
      <c r="B31" s="26">
        <v>222301025</v>
      </c>
      <c r="C31" s="129" t="s">
        <v>149</v>
      </c>
      <c r="D31" s="183"/>
      <c r="E31" s="183" t="s">
        <v>26</v>
      </c>
      <c r="F31" s="184" t="s">
        <v>178</v>
      </c>
      <c r="G31" s="185">
        <v>83</v>
      </c>
      <c r="H31" s="2">
        <v>24</v>
      </c>
      <c r="I31" s="2">
        <v>72</v>
      </c>
      <c r="J31" s="102">
        <v>79</v>
      </c>
      <c r="K31" s="22">
        <v>85</v>
      </c>
      <c r="L31" s="22">
        <f t="shared" si="1"/>
        <v>82</v>
      </c>
      <c r="M31" s="19">
        <f t="shared" si="2"/>
        <v>80.890350877192986</v>
      </c>
      <c r="N31" s="186">
        <f t="shared" si="3"/>
        <v>51.6</v>
      </c>
      <c r="O31" s="179"/>
      <c r="P31" s="2">
        <f t="shared" si="4"/>
        <v>72</v>
      </c>
      <c r="Q31" s="22">
        <v>0</v>
      </c>
      <c r="R31" s="19">
        <f t="shared" si="5"/>
        <v>79.86260869565217</v>
      </c>
      <c r="S31" s="186">
        <f t="shared" si="6"/>
        <v>31.1</v>
      </c>
      <c r="T31" s="179"/>
      <c r="U31" s="2">
        <v>0</v>
      </c>
      <c r="V31" s="22">
        <v>0</v>
      </c>
      <c r="W31" s="19" t="e">
        <f t="shared" si="0"/>
        <v>#DIV/0!</v>
      </c>
      <c r="X31" s="186" t="e">
        <f t="shared" si="7"/>
        <v>#DIV/0!</v>
      </c>
      <c r="Y31" s="179"/>
      <c r="Z31" s="196"/>
      <c r="AA31" s="179"/>
      <c r="AB31" s="179"/>
      <c r="AC31" s="179"/>
      <c r="AD31" s="179"/>
      <c r="AE31" s="179"/>
      <c r="AF31" s="179"/>
      <c r="AG31" s="179"/>
      <c r="AH31" s="194"/>
    </row>
    <row r="32" spans="1:34" ht="15.5" x14ac:dyDescent="0.35">
      <c r="A32" s="182">
        <v>23</v>
      </c>
      <c r="B32" s="26">
        <v>222301026</v>
      </c>
      <c r="C32" s="129" t="s">
        <v>150</v>
      </c>
      <c r="D32" s="183" t="s">
        <v>26</v>
      </c>
      <c r="E32" s="183"/>
      <c r="F32" s="184" t="s">
        <v>178</v>
      </c>
      <c r="G32" s="185">
        <v>83</v>
      </c>
      <c r="H32" s="2">
        <v>91</v>
      </c>
      <c r="I32" s="2">
        <v>48</v>
      </c>
      <c r="J32" s="103">
        <v>77</v>
      </c>
      <c r="K32" s="22">
        <v>88</v>
      </c>
      <c r="L32" s="22">
        <f t="shared" si="1"/>
        <v>82.5</v>
      </c>
      <c r="M32" s="19">
        <f t="shared" si="2"/>
        <v>86.15789473684211</v>
      </c>
      <c r="N32" s="186">
        <f t="shared" si="3"/>
        <v>81.625</v>
      </c>
      <c r="O32" s="179"/>
      <c r="P32" s="2">
        <f t="shared" si="4"/>
        <v>48</v>
      </c>
      <c r="Q32" s="22">
        <v>0</v>
      </c>
      <c r="R32" s="19">
        <f t="shared" si="5"/>
        <v>86.102608695652179</v>
      </c>
      <c r="S32" s="186">
        <f t="shared" si="6"/>
        <v>61</v>
      </c>
      <c r="T32" s="179"/>
      <c r="U32" s="2">
        <v>0</v>
      </c>
      <c r="V32" s="22">
        <v>0</v>
      </c>
      <c r="W32" s="19" t="e">
        <f t="shared" si="0"/>
        <v>#DIV/0!</v>
      </c>
      <c r="X32" s="186" t="e">
        <f t="shared" si="7"/>
        <v>#DIV/0!</v>
      </c>
      <c r="Y32" s="179"/>
      <c r="Z32" s="196"/>
      <c r="AA32" s="196"/>
      <c r="AB32" s="196"/>
      <c r="AC32" s="390" t="s">
        <v>230</v>
      </c>
      <c r="AD32" s="391"/>
      <c r="AE32" s="391"/>
      <c r="AF32" s="391"/>
      <c r="AG32" s="392"/>
      <c r="AH32" s="194"/>
    </row>
    <row r="33" spans="1:34" ht="15.5" x14ac:dyDescent="0.35">
      <c r="A33" s="182">
        <v>24</v>
      </c>
      <c r="B33" s="26">
        <v>222301027</v>
      </c>
      <c r="C33" s="129" t="s">
        <v>151</v>
      </c>
      <c r="D33" s="183" t="s">
        <v>26</v>
      </c>
      <c r="E33" s="183"/>
      <c r="F33" s="184" t="s">
        <v>178</v>
      </c>
      <c r="G33" s="185">
        <v>83</v>
      </c>
      <c r="H33" s="2">
        <v>53</v>
      </c>
      <c r="I33" s="2">
        <v>54</v>
      </c>
      <c r="J33" s="103">
        <v>79</v>
      </c>
      <c r="K33" s="22">
        <v>88</v>
      </c>
      <c r="L33" s="22">
        <f t="shared" si="1"/>
        <v>83.5</v>
      </c>
      <c r="M33" s="19">
        <f t="shared" si="2"/>
        <v>83.026315789473685</v>
      </c>
      <c r="N33" s="186">
        <f t="shared" si="3"/>
        <v>63.774999999999999</v>
      </c>
      <c r="O33" s="179"/>
      <c r="P33" s="2">
        <f t="shared" si="4"/>
        <v>54</v>
      </c>
      <c r="Q33" s="22">
        <v>0</v>
      </c>
      <c r="R33" s="19">
        <f t="shared" si="5"/>
        <v>82.325217391304349</v>
      </c>
      <c r="S33" s="186">
        <f t="shared" si="6"/>
        <v>42.9</v>
      </c>
      <c r="T33" s="179"/>
      <c r="U33" s="2">
        <v>0</v>
      </c>
      <c r="V33" s="22">
        <v>0</v>
      </c>
      <c r="W33" s="19" t="e">
        <f t="shared" si="0"/>
        <v>#DIV/0!</v>
      </c>
      <c r="X33" s="186" t="e">
        <f t="shared" si="7"/>
        <v>#DIV/0!</v>
      </c>
      <c r="Y33" s="179"/>
      <c r="Z33" s="196"/>
      <c r="AA33" s="196"/>
      <c r="AB33" s="196"/>
      <c r="AC33" s="179"/>
      <c r="AD33" s="179"/>
      <c r="AE33" s="179"/>
      <c r="AF33" s="179"/>
      <c r="AG33" s="179"/>
      <c r="AH33" s="194"/>
    </row>
    <row r="34" spans="1:34" ht="15.5" x14ac:dyDescent="0.35">
      <c r="A34" s="182">
        <v>25</v>
      </c>
      <c r="B34" s="26">
        <v>222301028</v>
      </c>
      <c r="C34" s="129" t="s">
        <v>152</v>
      </c>
      <c r="D34" s="183"/>
      <c r="E34" s="183" t="s">
        <v>26</v>
      </c>
      <c r="F34" s="184" t="s">
        <v>178</v>
      </c>
      <c r="G34" s="185">
        <v>83</v>
      </c>
      <c r="H34" s="2">
        <v>13</v>
      </c>
      <c r="I34" s="2">
        <v>78</v>
      </c>
      <c r="J34" s="102">
        <v>81</v>
      </c>
      <c r="K34" s="22">
        <v>88</v>
      </c>
      <c r="L34" s="22">
        <f t="shared" si="1"/>
        <v>84.5</v>
      </c>
      <c r="M34" s="19">
        <f t="shared" si="2"/>
        <v>80.192982456140356</v>
      </c>
      <c r="N34" s="186">
        <f t="shared" si="3"/>
        <v>47.625</v>
      </c>
      <c r="O34" s="179"/>
      <c r="P34" s="2">
        <f t="shared" si="4"/>
        <v>78</v>
      </c>
      <c r="Q34" s="22">
        <v>0</v>
      </c>
      <c r="R34" s="19">
        <f t="shared" si="5"/>
        <v>78.902608695652177</v>
      </c>
      <c r="S34" s="186">
        <f t="shared" si="6"/>
        <v>26.5</v>
      </c>
      <c r="T34" s="179"/>
      <c r="U34" s="2">
        <v>0</v>
      </c>
      <c r="V34" s="22">
        <v>0</v>
      </c>
      <c r="W34" s="19" t="e">
        <f t="shared" si="0"/>
        <v>#DIV/0!</v>
      </c>
      <c r="X34" s="186" t="e">
        <f t="shared" si="7"/>
        <v>#DIV/0!</v>
      </c>
      <c r="Y34" s="179"/>
      <c r="Z34" s="196"/>
      <c r="AA34" s="196"/>
      <c r="AB34" s="179"/>
      <c r="AC34" s="179"/>
      <c r="AD34" s="179"/>
      <c r="AE34" s="179"/>
      <c r="AF34" s="179"/>
      <c r="AG34" s="179"/>
      <c r="AH34" s="194"/>
    </row>
    <row r="35" spans="1:34" ht="15.5" x14ac:dyDescent="0.35">
      <c r="A35" s="182">
        <v>26</v>
      </c>
      <c r="B35" s="26">
        <v>222301029</v>
      </c>
      <c r="C35" s="129" t="s">
        <v>153</v>
      </c>
      <c r="D35" s="183"/>
      <c r="E35" s="183" t="s">
        <v>26</v>
      </c>
      <c r="F35" s="184" t="s">
        <v>178</v>
      </c>
      <c r="G35" s="185">
        <v>83</v>
      </c>
      <c r="H35" s="2">
        <v>34</v>
      </c>
      <c r="I35" s="2">
        <v>48</v>
      </c>
      <c r="J35" s="102">
        <v>81</v>
      </c>
      <c r="K35" s="22">
        <v>78</v>
      </c>
      <c r="L35" s="22">
        <f t="shared" si="1"/>
        <v>79.5</v>
      </c>
      <c r="M35" s="19">
        <f t="shared" si="2"/>
        <v>81.026315789473685</v>
      </c>
      <c r="N35" s="186">
        <f t="shared" si="3"/>
        <v>52.375</v>
      </c>
      <c r="O35" s="179"/>
      <c r="P35" s="2">
        <f t="shared" si="4"/>
        <v>48</v>
      </c>
      <c r="Q35" s="22">
        <v>0</v>
      </c>
      <c r="R35" s="19">
        <f t="shared" si="5"/>
        <v>80.154782608695655</v>
      </c>
      <c r="S35" s="186">
        <f t="shared" si="6"/>
        <v>32.5</v>
      </c>
      <c r="T35" s="179"/>
      <c r="U35" s="2">
        <v>0</v>
      </c>
      <c r="V35" s="22">
        <v>0</v>
      </c>
      <c r="W35" s="19" t="e">
        <f t="shared" si="0"/>
        <v>#DIV/0!</v>
      </c>
      <c r="X35" s="186" t="e">
        <f t="shared" si="7"/>
        <v>#DIV/0!</v>
      </c>
      <c r="Y35" s="179"/>
      <c r="Z35" s="196"/>
      <c r="AA35" s="196"/>
      <c r="AB35" s="179"/>
      <c r="AC35" s="179"/>
      <c r="AD35" s="179"/>
      <c r="AE35" s="179"/>
      <c r="AF35" s="179"/>
      <c r="AG35" s="179"/>
      <c r="AH35" s="194"/>
    </row>
    <row r="36" spans="1:34" ht="15.5" x14ac:dyDescent="0.35">
      <c r="A36" s="182">
        <v>27</v>
      </c>
      <c r="B36" s="26">
        <v>222301031</v>
      </c>
      <c r="C36" s="129" t="s">
        <v>154</v>
      </c>
      <c r="D36" s="183" t="s">
        <v>26</v>
      </c>
      <c r="E36" s="130"/>
      <c r="F36" s="184" t="s">
        <v>178</v>
      </c>
      <c r="G36" s="185">
        <v>77</v>
      </c>
      <c r="H36" s="2">
        <v>10</v>
      </c>
      <c r="I36" s="2">
        <v>36</v>
      </c>
      <c r="J36" s="116">
        <v>0</v>
      </c>
      <c r="K36" s="22">
        <v>70</v>
      </c>
      <c r="L36" s="22">
        <f t="shared" si="1"/>
        <v>35</v>
      </c>
      <c r="M36" s="19">
        <f t="shared" si="2"/>
        <v>76.548245614035082</v>
      </c>
      <c r="N36" s="186">
        <f t="shared" si="3"/>
        <v>26.849999999999998</v>
      </c>
      <c r="O36" s="179"/>
      <c r="P36" s="2">
        <f t="shared" si="4"/>
        <v>36</v>
      </c>
      <c r="Q36" s="22">
        <v>0</v>
      </c>
      <c r="R36" s="19">
        <f t="shared" si="5"/>
        <v>77.149565217391299</v>
      </c>
      <c r="S36" s="186">
        <f t="shared" si="6"/>
        <v>18.099999999999998</v>
      </c>
      <c r="T36" s="179"/>
      <c r="U36" s="2">
        <v>0</v>
      </c>
      <c r="V36" s="22">
        <v>0</v>
      </c>
      <c r="W36" s="19" t="e">
        <f t="shared" si="0"/>
        <v>#DIV/0!</v>
      </c>
      <c r="X36" s="186" t="e">
        <f t="shared" si="7"/>
        <v>#DIV/0!</v>
      </c>
      <c r="Y36" s="179"/>
      <c r="Z36" s="179"/>
      <c r="AA36" s="179"/>
      <c r="AB36" s="179"/>
      <c r="AC36" s="179"/>
      <c r="AD36" s="179"/>
      <c r="AE36" s="179"/>
      <c r="AF36" s="179"/>
      <c r="AG36" s="179"/>
      <c r="AH36" s="194"/>
    </row>
    <row r="37" spans="1:34" ht="15.5" x14ac:dyDescent="0.35">
      <c r="A37" s="182">
        <v>28</v>
      </c>
      <c r="B37" s="26">
        <v>222301032</v>
      </c>
      <c r="C37" s="129" t="s">
        <v>155</v>
      </c>
      <c r="D37" s="183" t="s">
        <v>26</v>
      </c>
      <c r="E37" s="183"/>
      <c r="F37" s="184" t="s">
        <v>178</v>
      </c>
      <c r="G37" s="185">
        <v>77</v>
      </c>
      <c r="H37" s="2">
        <v>24</v>
      </c>
      <c r="I37" s="2">
        <v>42</v>
      </c>
      <c r="J37" s="116">
        <v>0</v>
      </c>
      <c r="K37" s="22">
        <v>88</v>
      </c>
      <c r="L37" s="22">
        <f t="shared" si="1"/>
        <v>44</v>
      </c>
      <c r="M37" s="19">
        <f t="shared" si="2"/>
        <v>78.328947368421055</v>
      </c>
      <c r="N37" s="186">
        <f t="shared" si="3"/>
        <v>37</v>
      </c>
      <c r="O37" s="179"/>
      <c r="P37" s="2">
        <f t="shared" si="4"/>
        <v>42</v>
      </c>
      <c r="Q37" s="22">
        <v>0</v>
      </c>
      <c r="R37" s="19">
        <f t="shared" si="5"/>
        <v>78.798260869565212</v>
      </c>
      <c r="S37" s="186">
        <f t="shared" si="6"/>
        <v>26</v>
      </c>
      <c r="T37" s="179"/>
      <c r="U37" s="2">
        <v>0</v>
      </c>
      <c r="V37" s="22">
        <v>0</v>
      </c>
      <c r="W37" s="19" t="e">
        <f t="shared" si="0"/>
        <v>#DIV/0!</v>
      </c>
      <c r="X37" s="186" t="e">
        <f t="shared" si="7"/>
        <v>#DIV/0!</v>
      </c>
      <c r="Y37" s="179"/>
      <c r="Z37" s="196"/>
      <c r="AA37" s="196"/>
      <c r="AB37" s="179"/>
      <c r="AC37" s="179"/>
      <c r="AD37" s="179"/>
      <c r="AE37" s="179"/>
      <c r="AF37" s="179"/>
      <c r="AG37" s="179"/>
      <c r="AH37" s="194"/>
    </row>
    <row r="38" spans="1:34" ht="15.5" x14ac:dyDescent="0.35">
      <c r="A38" s="182">
        <v>29</v>
      </c>
      <c r="B38" s="26">
        <v>222301033</v>
      </c>
      <c r="C38" s="130" t="s">
        <v>156</v>
      </c>
      <c r="D38" s="183" t="s">
        <v>26</v>
      </c>
      <c r="E38" s="183"/>
      <c r="F38" s="184" t="s">
        <v>178</v>
      </c>
      <c r="G38" s="185">
        <v>83</v>
      </c>
      <c r="H38" s="2">
        <v>34</v>
      </c>
      <c r="I38" s="2">
        <v>42</v>
      </c>
      <c r="J38" s="102">
        <v>83</v>
      </c>
      <c r="K38" s="118">
        <v>0</v>
      </c>
      <c r="L38" s="22">
        <f t="shared" si="1"/>
        <v>41.5</v>
      </c>
      <c r="M38" s="19">
        <f t="shared" si="2"/>
        <v>79.201754385964918</v>
      </c>
      <c r="N38" s="186">
        <f t="shared" si="3"/>
        <v>41.975000000000001</v>
      </c>
      <c r="O38" s="179"/>
      <c r="P38" s="2">
        <f t="shared" si="4"/>
        <v>42</v>
      </c>
      <c r="Q38" s="22">
        <v>0</v>
      </c>
      <c r="R38" s="19">
        <f t="shared" si="5"/>
        <v>79.966956521739135</v>
      </c>
      <c r="S38" s="186">
        <f t="shared" si="6"/>
        <v>31.6</v>
      </c>
      <c r="T38" s="179"/>
      <c r="U38" s="2">
        <v>0</v>
      </c>
      <c r="V38" s="22">
        <v>0</v>
      </c>
      <c r="W38" s="19" t="e">
        <f t="shared" si="0"/>
        <v>#DIV/0!</v>
      </c>
      <c r="X38" s="186" t="e">
        <f t="shared" si="7"/>
        <v>#DIV/0!</v>
      </c>
      <c r="Y38" s="179"/>
      <c r="Z38" s="196"/>
      <c r="AA38" s="196"/>
      <c r="AB38" s="179"/>
      <c r="AC38" s="179"/>
      <c r="AD38" s="179"/>
      <c r="AE38" s="179"/>
      <c r="AF38" s="179"/>
      <c r="AG38" s="179"/>
      <c r="AH38" s="194"/>
    </row>
    <row r="39" spans="1:34" ht="15.5" x14ac:dyDescent="0.35">
      <c r="A39" s="182">
        <v>30</v>
      </c>
      <c r="B39" s="26">
        <v>222301035</v>
      </c>
      <c r="C39" s="129" t="s">
        <v>157</v>
      </c>
      <c r="D39" s="130"/>
      <c r="E39" s="183" t="s">
        <v>26</v>
      </c>
      <c r="F39" s="184" t="s">
        <v>178</v>
      </c>
      <c r="G39" s="185">
        <v>83</v>
      </c>
      <c r="H39" s="2">
        <v>24</v>
      </c>
      <c r="I39" s="2">
        <v>18</v>
      </c>
      <c r="J39" s="103">
        <v>79</v>
      </c>
      <c r="K39" s="22">
        <v>85</v>
      </c>
      <c r="L39" s="22">
        <f t="shared" si="1"/>
        <v>82</v>
      </c>
      <c r="M39" s="19">
        <f t="shared" si="2"/>
        <v>79.469298245614041</v>
      </c>
      <c r="N39" s="186">
        <f t="shared" si="3"/>
        <v>43.5</v>
      </c>
      <c r="O39" s="179"/>
      <c r="P39" s="2">
        <f t="shared" si="4"/>
        <v>18</v>
      </c>
      <c r="Q39" s="22">
        <v>0</v>
      </c>
      <c r="R39" s="19">
        <f t="shared" si="5"/>
        <v>78.17217391304348</v>
      </c>
      <c r="S39" s="186">
        <f t="shared" si="6"/>
        <v>23</v>
      </c>
      <c r="T39" s="179"/>
      <c r="U39" s="2">
        <v>0</v>
      </c>
      <c r="V39" s="22">
        <v>0</v>
      </c>
      <c r="W39" s="19" t="e">
        <f t="shared" si="0"/>
        <v>#DIV/0!</v>
      </c>
      <c r="X39" s="186" t="e">
        <f t="shared" si="7"/>
        <v>#DIV/0!</v>
      </c>
      <c r="Y39" s="179"/>
      <c r="Z39" s="179"/>
      <c r="AA39" s="179"/>
      <c r="AB39" s="179"/>
      <c r="AC39" s="179"/>
      <c r="AD39" s="179"/>
      <c r="AE39" s="179"/>
      <c r="AF39" s="179"/>
      <c r="AG39" s="179"/>
      <c r="AH39" s="194"/>
    </row>
    <row r="40" spans="1:34" ht="15.5" x14ac:dyDescent="0.35">
      <c r="A40" s="182">
        <v>31</v>
      </c>
      <c r="B40" s="26">
        <v>222301036</v>
      </c>
      <c r="C40" s="129" t="s">
        <v>158</v>
      </c>
      <c r="D40" s="183" t="s">
        <v>26</v>
      </c>
      <c r="E40" s="183"/>
      <c r="F40" s="184" t="s">
        <v>178</v>
      </c>
      <c r="G40" s="185">
        <v>83</v>
      </c>
      <c r="H40" s="2">
        <v>23</v>
      </c>
      <c r="I40" s="2">
        <v>24</v>
      </c>
      <c r="J40" s="102">
        <v>49</v>
      </c>
      <c r="K40" s="22">
        <v>79</v>
      </c>
      <c r="L40" s="22">
        <f t="shared" si="1"/>
        <v>64</v>
      </c>
      <c r="M40" s="19">
        <f t="shared" si="2"/>
        <v>78.75</v>
      </c>
      <c r="N40" s="186">
        <f t="shared" si="3"/>
        <v>39.4</v>
      </c>
      <c r="O40" s="179"/>
      <c r="P40" s="2">
        <f t="shared" si="4"/>
        <v>24</v>
      </c>
      <c r="Q40" s="22">
        <v>0</v>
      </c>
      <c r="R40" s="19">
        <f t="shared" si="5"/>
        <v>78.255652173913049</v>
      </c>
      <c r="S40" s="186">
        <f t="shared" si="6"/>
        <v>23.4</v>
      </c>
      <c r="T40" s="179"/>
      <c r="U40" s="2">
        <v>0</v>
      </c>
      <c r="V40" s="22">
        <v>0</v>
      </c>
      <c r="W40" s="19" t="e">
        <f t="shared" si="0"/>
        <v>#DIV/0!</v>
      </c>
      <c r="X40" s="186" t="e">
        <f t="shared" si="7"/>
        <v>#DIV/0!</v>
      </c>
      <c r="Y40" s="179"/>
      <c r="Z40" s="196"/>
      <c r="AA40" s="196"/>
      <c r="AB40" s="179"/>
      <c r="AC40" s="179"/>
      <c r="AD40" s="179"/>
      <c r="AE40" s="179"/>
      <c r="AF40" s="179"/>
      <c r="AG40" s="179"/>
      <c r="AH40" s="194"/>
    </row>
    <row r="41" spans="1:34" ht="15.5" x14ac:dyDescent="0.35">
      <c r="A41" s="182">
        <v>32</v>
      </c>
      <c r="B41" s="26">
        <v>222301037</v>
      </c>
      <c r="C41" s="129" t="s">
        <v>159</v>
      </c>
      <c r="D41" s="130"/>
      <c r="E41" s="183" t="s">
        <v>26</v>
      </c>
      <c r="F41" s="184" t="s">
        <v>178</v>
      </c>
      <c r="G41" s="185">
        <v>79</v>
      </c>
      <c r="H41" s="2">
        <v>46</v>
      </c>
      <c r="I41" s="2">
        <v>42</v>
      </c>
      <c r="J41" s="103">
        <v>79</v>
      </c>
      <c r="K41" s="22">
        <v>85</v>
      </c>
      <c r="L41" s="22">
        <f t="shared" si="1"/>
        <v>82</v>
      </c>
      <c r="M41" s="19">
        <f t="shared" si="2"/>
        <v>81.96052631578948</v>
      </c>
      <c r="N41" s="186">
        <f t="shared" si="3"/>
        <v>57.699999999999996</v>
      </c>
      <c r="O41" s="179"/>
      <c r="P41" s="2">
        <f t="shared" si="4"/>
        <v>42</v>
      </c>
      <c r="Q41" s="22">
        <v>0</v>
      </c>
      <c r="R41" s="19">
        <f t="shared" si="5"/>
        <v>81.135652173913044</v>
      </c>
      <c r="S41" s="186">
        <f t="shared" si="6"/>
        <v>37.199999999999996</v>
      </c>
      <c r="T41" s="179"/>
      <c r="U41" s="2">
        <v>0</v>
      </c>
      <c r="V41" s="22">
        <v>0</v>
      </c>
      <c r="W41" s="19" t="e">
        <f t="shared" si="0"/>
        <v>#DIV/0!</v>
      </c>
      <c r="X41" s="186" t="e">
        <f t="shared" si="7"/>
        <v>#DIV/0!</v>
      </c>
      <c r="Y41" s="179"/>
      <c r="Z41" s="196"/>
      <c r="AA41" s="196"/>
      <c r="AB41" s="179"/>
      <c r="AC41" s="179"/>
      <c r="AD41" s="179"/>
      <c r="AE41" s="179"/>
      <c r="AF41" s="179"/>
      <c r="AG41" s="179"/>
      <c r="AH41" s="194"/>
    </row>
    <row r="42" spans="1:34" ht="15.5" x14ac:dyDescent="0.35">
      <c r="A42" s="182">
        <v>33</v>
      </c>
      <c r="B42" s="26">
        <v>222301038</v>
      </c>
      <c r="C42" s="129" t="s">
        <v>160</v>
      </c>
      <c r="D42" s="130"/>
      <c r="E42" s="183" t="s">
        <v>26</v>
      </c>
      <c r="F42" s="184" t="s">
        <v>178</v>
      </c>
      <c r="G42" s="185">
        <v>83</v>
      </c>
      <c r="H42" s="2">
        <v>46</v>
      </c>
      <c r="I42" s="2">
        <v>60</v>
      </c>
      <c r="J42" s="102">
        <v>53</v>
      </c>
      <c r="K42" s="22">
        <v>80</v>
      </c>
      <c r="L42" s="22">
        <f t="shared" si="1"/>
        <v>66.5</v>
      </c>
      <c r="M42" s="19">
        <f t="shared" si="2"/>
        <v>81.824561403508767</v>
      </c>
      <c r="N42" s="186">
        <f t="shared" si="3"/>
        <v>56.924999999999997</v>
      </c>
      <c r="O42" s="179"/>
      <c r="P42" s="2">
        <f t="shared" si="4"/>
        <v>60</v>
      </c>
      <c r="Q42" s="22">
        <v>0</v>
      </c>
      <c r="R42" s="19">
        <f t="shared" si="5"/>
        <v>81.782608695652172</v>
      </c>
      <c r="S42" s="186">
        <f t="shared" si="6"/>
        <v>40.299999999999997</v>
      </c>
      <c r="T42" s="179"/>
      <c r="U42" s="2">
        <v>0</v>
      </c>
      <c r="V42" s="22">
        <v>0</v>
      </c>
      <c r="W42" s="19" t="e">
        <f t="shared" si="0"/>
        <v>#DIV/0!</v>
      </c>
      <c r="X42" s="186" t="e">
        <f t="shared" si="7"/>
        <v>#DIV/0!</v>
      </c>
      <c r="Y42" s="179"/>
      <c r="Z42" s="196"/>
      <c r="AA42" s="179"/>
      <c r="AB42" s="179"/>
      <c r="AC42" s="179"/>
      <c r="AD42" s="179"/>
      <c r="AE42" s="179"/>
      <c r="AF42" s="179"/>
      <c r="AG42" s="179"/>
      <c r="AH42" s="194"/>
    </row>
    <row r="43" spans="1:34" ht="15.5" x14ac:dyDescent="0.35">
      <c r="A43" s="182">
        <v>34</v>
      </c>
      <c r="B43" s="26">
        <v>222301039</v>
      </c>
      <c r="C43" s="129" t="s">
        <v>161</v>
      </c>
      <c r="D43" s="183" t="s">
        <v>26</v>
      </c>
      <c r="E43" s="183"/>
      <c r="F43" s="184" t="s">
        <v>178</v>
      </c>
      <c r="G43" s="185">
        <v>83</v>
      </c>
      <c r="H43" s="2">
        <v>23</v>
      </c>
      <c r="I43" s="2">
        <v>42</v>
      </c>
      <c r="J43" s="103">
        <v>81</v>
      </c>
      <c r="K43" s="22">
        <v>88</v>
      </c>
      <c r="L43" s="22">
        <f t="shared" si="1"/>
        <v>84.5</v>
      </c>
      <c r="M43" s="19">
        <f t="shared" si="2"/>
        <v>80.122807017543863</v>
      </c>
      <c r="N43" s="186">
        <f t="shared" si="3"/>
        <v>47.225000000000001</v>
      </c>
      <c r="O43" s="179"/>
      <c r="P43" s="2">
        <f t="shared" si="4"/>
        <v>42</v>
      </c>
      <c r="Q43" s="22">
        <v>0</v>
      </c>
      <c r="R43" s="19">
        <f t="shared" si="5"/>
        <v>78.819130434782608</v>
      </c>
      <c r="S43" s="186">
        <f t="shared" si="6"/>
        <v>26.1</v>
      </c>
      <c r="T43" s="179"/>
      <c r="U43" s="2">
        <v>0</v>
      </c>
      <c r="V43" s="22">
        <v>0</v>
      </c>
      <c r="W43" s="19" t="e">
        <f t="shared" si="0"/>
        <v>#DIV/0!</v>
      </c>
      <c r="X43" s="186" t="e">
        <f t="shared" si="7"/>
        <v>#DIV/0!</v>
      </c>
      <c r="Y43" s="179"/>
      <c r="Z43" s="196"/>
      <c r="AA43" s="196"/>
      <c r="AB43" s="179"/>
      <c r="AC43" s="179"/>
      <c r="AD43" s="179"/>
      <c r="AE43" s="179"/>
      <c r="AF43" s="179"/>
      <c r="AG43" s="179"/>
      <c r="AH43" s="194"/>
    </row>
    <row r="44" spans="1:34" ht="15.5" x14ac:dyDescent="0.35">
      <c r="A44" s="182">
        <v>35</v>
      </c>
      <c r="B44" s="26">
        <v>222301040</v>
      </c>
      <c r="C44" s="129" t="s">
        <v>162</v>
      </c>
      <c r="D44" s="183"/>
      <c r="E44" s="183" t="s">
        <v>26</v>
      </c>
      <c r="F44" s="184" t="s">
        <v>178</v>
      </c>
      <c r="G44" s="185">
        <v>83</v>
      </c>
      <c r="H44" s="2">
        <v>46</v>
      </c>
      <c r="I44" s="2">
        <v>48</v>
      </c>
      <c r="J44" s="102">
        <v>79</v>
      </c>
      <c r="K44" s="22">
        <v>85</v>
      </c>
      <c r="L44" s="22">
        <f t="shared" si="1"/>
        <v>82</v>
      </c>
      <c r="M44" s="19">
        <f t="shared" si="2"/>
        <v>82.188596491228068</v>
      </c>
      <c r="N44" s="186">
        <f t="shared" si="3"/>
        <v>59</v>
      </c>
      <c r="O44" s="179"/>
      <c r="P44" s="2">
        <f t="shared" si="4"/>
        <v>48</v>
      </c>
      <c r="Q44" s="22">
        <v>0</v>
      </c>
      <c r="R44" s="19">
        <f t="shared" si="5"/>
        <v>81.406956521739133</v>
      </c>
      <c r="S44" s="186">
        <f t="shared" si="6"/>
        <v>38.5</v>
      </c>
      <c r="T44" s="179"/>
      <c r="U44" s="2">
        <v>0</v>
      </c>
      <c r="V44" s="22">
        <v>0</v>
      </c>
      <c r="W44" s="19" t="e">
        <f t="shared" si="0"/>
        <v>#DIV/0!</v>
      </c>
      <c r="X44" s="186" t="e">
        <f t="shared" si="7"/>
        <v>#DIV/0!</v>
      </c>
      <c r="Y44" s="179"/>
      <c r="Z44" s="196"/>
      <c r="AA44" s="196"/>
      <c r="AB44" s="196"/>
      <c r="AC44" s="196"/>
      <c r="AD44" s="196"/>
      <c r="AE44" s="179"/>
      <c r="AF44" s="179"/>
      <c r="AG44" s="179"/>
      <c r="AH44" s="194"/>
    </row>
    <row r="45" spans="1:34" ht="15.5" x14ac:dyDescent="0.35">
      <c r="A45" s="182">
        <v>36</v>
      </c>
      <c r="B45" s="26">
        <v>222301041</v>
      </c>
      <c r="C45" s="129" t="s">
        <v>163</v>
      </c>
      <c r="D45" s="183"/>
      <c r="E45" s="183" t="s">
        <v>26</v>
      </c>
      <c r="F45" s="184" t="s">
        <v>178</v>
      </c>
      <c r="G45" s="185">
        <v>83</v>
      </c>
      <c r="H45" s="2">
        <v>61</v>
      </c>
      <c r="I45" s="2">
        <v>48</v>
      </c>
      <c r="J45" s="103">
        <v>81</v>
      </c>
      <c r="K45" s="22">
        <v>89</v>
      </c>
      <c r="L45" s="22">
        <f t="shared" si="1"/>
        <v>85</v>
      </c>
      <c r="M45" s="19">
        <f t="shared" si="2"/>
        <v>83.635964912280699</v>
      </c>
      <c r="N45" s="186">
        <f t="shared" si="3"/>
        <v>67.25</v>
      </c>
      <c r="O45" s="179"/>
      <c r="P45" s="2">
        <f t="shared" si="4"/>
        <v>48</v>
      </c>
      <c r="Q45" s="22">
        <v>0</v>
      </c>
      <c r="R45" s="19">
        <f t="shared" si="5"/>
        <v>82.972173913043477</v>
      </c>
      <c r="S45" s="186">
        <f t="shared" si="6"/>
        <v>46</v>
      </c>
      <c r="T45" s="179"/>
      <c r="U45" s="2">
        <v>0</v>
      </c>
      <c r="V45" s="22">
        <v>0</v>
      </c>
      <c r="W45" s="19" t="e">
        <f t="shared" si="0"/>
        <v>#DIV/0!</v>
      </c>
      <c r="X45" s="186" t="e">
        <f t="shared" si="7"/>
        <v>#DIV/0!</v>
      </c>
      <c r="Y45" s="179"/>
      <c r="Z45" s="196"/>
      <c r="AA45" s="196"/>
      <c r="AB45" s="196"/>
      <c r="AC45" s="179"/>
      <c r="AD45" s="179"/>
      <c r="AE45" s="179"/>
      <c r="AF45" s="179"/>
      <c r="AG45" s="179"/>
      <c r="AH45" s="194"/>
    </row>
    <row r="46" spans="1:34" ht="15.5" x14ac:dyDescent="0.35">
      <c r="A46" s="182">
        <v>37</v>
      </c>
      <c r="B46" s="26">
        <v>222301042</v>
      </c>
      <c r="C46" s="129" t="s">
        <v>164</v>
      </c>
      <c r="D46" s="183" t="s">
        <v>26</v>
      </c>
      <c r="E46" s="183"/>
      <c r="F46" s="184" t="s">
        <v>178</v>
      </c>
      <c r="G46" s="185">
        <v>79</v>
      </c>
      <c r="H46" s="2">
        <v>0</v>
      </c>
      <c r="I46" s="117">
        <v>0</v>
      </c>
      <c r="J46" s="103">
        <v>81</v>
      </c>
      <c r="K46" s="118">
        <v>0</v>
      </c>
      <c r="L46" s="22">
        <f t="shared" si="1"/>
        <v>40.5</v>
      </c>
      <c r="M46" s="19">
        <f t="shared" si="2"/>
        <v>75</v>
      </c>
      <c r="N46" s="186">
        <f t="shared" si="3"/>
        <v>18.024999999999999</v>
      </c>
      <c r="O46" s="179"/>
      <c r="P46" s="2">
        <f t="shared" si="4"/>
        <v>0</v>
      </c>
      <c r="Q46" s="22">
        <v>0</v>
      </c>
      <c r="R46" s="19">
        <f t="shared" si="5"/>
        <v>75.020869565217396</v>
      </c>
      <c r="S46" s="186">
        <f t="shared" si="6"/>
        <v>7.9</v>
      </c>
      <c r="T46" s="179"/>
      <c r="U46" s="2">
        <v>0</v>
      </c>
      <c r="V46" s="22">
        <v>0</v>
      </c>
      <c r="W46" s="19" t="e">
        <f t="shared" si="0"/>
        <v>#DIV/0!</v>
      </c>
      <c r="X46" s="186" t="e">
        <f t="shared" si="7"/>
        <v>#DIV/0!</v>
      </c>
      <c r="Y46" s="179"/>
      <c r="Z46" s="179"/>
      <c r="AA46" s="179"/>
      <c r="AB46" s="179"/>
      <c r="AC46" s="179"/>
      <c r="AD46" s="179"/>
      <c r="AE46" s="179"/>
      <c r="AF46" s="179"/>
      <c r="AG46" s="179"/>
      <c r="AH46" s="194"/>
    </row>
    <row r="47" spans="1:34" ht="15.5" x14ac:dyDescent="0.35">
      <c r="A47" s="182">
        <v>38</v>
      </c>
      <c r="B47" s="26">
        <v>222301043</v>
      </c>
      <c r="C47" s="129" t="s">
        <v>165</v>
      </c>
      <c r="D47" s="183"/>
      <c r="E47" s="183" t="s">
        <v>26</v>
      </c>
      <c r="F47" s="184" t="s">
        <v>178</v>
      </c>
      <c r="G47" s="185">
        <v>83</v>
      </c>
      <c r="H47" s="2">
        <v>48</v>
      </c>
      <c r="I47" s="2">
        <v>48</v>
      </c>
      <c r="J47" s="102">
        <v>75</v>
      </c>
      <c r="K47" s="22">
        <v>88</v>
      </c>
      <c r="L47" s="22">
        <f t="shared" si="1"/>
        <v>81.5</v>
      </c>
      <c r="M47" s="19">
        <f t="shared" si="2"/>
        <v>82.34210526315789</v>
      </c>
      <c r="N47" s="186">
        <f t="shared" si="3"/>
        <v>59.875</v>
      </c>
      <c r="O47" s="179"/>
      <c r="P47" s="2">
        <f t="shared" si="4"/>
        <v>48</v>
      </c>
      <c r="Q47" s="22">
        <v>0</v>
      </c>
      <c r="R47" s="19">
        <f t="shared" si="5"/>
        <v>81.615652173913048</v>
      </c>
      <c r="S47" s="186">
        <f t="shared" si="6"/>
        <v>39.5</v>
      </c>
      <c r="T47" s="179"/>
      <c r="U47" s="2">
        <v>0</v>
      </c>
      <c r="V47" s="22">
        <v>0</v>
      </c>
      <c r="W47" s="19" t="e">
        <f t="shared" si="0"/>
        <v>#DIV/0!</v>
      </c>
      <c r="X47" s="186" t="e">
        <f t="shared" si="7"/>
        <v>#DIV/0!</v>
      </c>
      <c r="Y47" s="179"/>
      <c r="Z47" s="196"/>
      <c r="AA47" s="196"/>
      <c r="AB47" s="196"/>
      <c r="AC47" s="179"/>
      <c r="AD47" s="179"/>
      <c r="AE47" s="179"/>
      <c r="AF47" s="179"/>
      <c r="AG47" s="179"/>
      <c r="AH47" s="194"/>
    </row>
    <row r="48" spans="1:34" ht="15.5" x14ac:dyDescent="0.35">
      <c r="A48" s="182">
        <v>39</v>
      </c>
      <c r="B48" s="26">
        <v>222301044</v>
      </c>
      <c r="C48" s="129" t="s">
        <v>166</v>
      </c>
      <c r="D48" s="183" t="s">
        <v>26</v>
      </c>
      <c r="E48" s="130"/>
      <c r="F48" s="184" t="s">
        <v>178</v>
      </c>
      <c r="G48" s="185">
        <v>79</v>
      </c>
      <c r="H48" s="2">
        <v>36</v>
      </c>
      <c r="I48" s="2">
        <v>42</v>
      </c>
      <c r="J48" s="103">
        <v>79</v>
      </c>
      <c r="K48" s="22">
        <v>88</v>
      </c>
      <c r="L48" s="22">
        <f t="shared" si="1"/>
        <v>83.5</v>
      </c>
      <c r="M48" s="19">
        <f t="shared" si="2"/>
        <v>81.149122807017548</v>
      </c>
      <c r="N48" s="186">
        <f t="shared" si="3"/>
        <v>53.074999999999996</v>
      </c>
      <c r="O48" s="179"/>
      <c r="P48" s="2">
        <f t="shared" si="4"/>
        <v>42</v>
      </c>
      <c r="Q48" s="22">
        <v>0</v>
      </c>
      <c r="R48" s="19">
        <f t="shared" si="5"/>
        <v>80.092173913043482</v>
      </c>
      <c r="S48" s="186">
        <f t="shared" si="6"/>
        <v>32.199999999999996</v>
      </c>
      <c r="T48" s="179"/>
      <c r="U48" s="2">
        <v>0</v>
      </c>
      <c r="V48" s="22">
        <v>0</v>
      </c>
      <c r="W48" s="19" t="e">
        <f t="shared" si="0"/>
        <v>#DIV/0!</v>
      </c>
      <c r="X48" s="186" t="e">
        <f t="shared" si="7"/>
        <v>#DIV/0!</v>
      </c>
      <c r="Y48" s="179"/>
      <c r="Z48" s="196"/>
      <c r="AA48" s="196"/>
      <c r="AB48" s="196"/>
      <c r="AC48" s="179"/>
      <c r="AD48" s="179"/>
      <c r="AE48" s="179"/>
      <c r="AF48" s="179"/>
      <c r="AG48" s="179"/>
      <c r="AH48" s="194"/>
    </row>
    <row r="49" spans="1:34" ht="15.5" x14ac:dyDescent="0.35">
      <c r="A49" s="182">
        <v>40</v>
      </c>
      <c r="B49" s="26">
        <v>222301045</v>
      </c>
      <c r="C49" s="129" t="s">
        <v>167</v>
      </c>
      <c r="D49" s="183"/>
      <c r="E49" s="183" t="s">
        <v>26</v>
      </c>
      <c r="F49" s="184" t="s">
        <v>178</v>
      </c>
      <c r="G49" s="185">
        <v>83</v>
      </c>
      <c r="H49" s="2">
        <v>24</v>
      </c>
      <c r="I49" s="2">
        <v>72</v>
      </c>
      <c r="J49" s="103">
        <v>73</v>
      </c>
      <c r="K49" s="22">
        <v>88</v>
      </c>
      <c r="L49" s="22">
        <f t="shared" si="1"/>
        <v>80.5</v>
      </c>
      <c r="M49" s="19">
        <f t="shared" si="2"/>
        <v>80.824561403508767</v>
      </c>
      <c r="N49" s="186">
        <f t="shared" si="3"/>
        <v>51.225000000000001</v>
      </c>
      <c r="O49" s="179"/>
      <c r="P49" s="2">
        <f t="shared" si="4"/>
        <v>72</v>
      </c>
      <c r="Q49" s="22">
        <v>0</v>
      </c>
      <c r="R49" s="19">
        <f t="shared" si="5"/>
        <v>79.86260869565217</v>
      </c>
      <c r="S49" s="186">
        <f t="shared" si="6"/>
        <v>31.1</v>
      </c>
      <c r="T49" s="179"/>
      <c r="U49" s="2">
        <v>0</v>
      </c>
      <c r="V49" s="22">
        <v>0</v>
      </c>
      <c r="W49" s="19" t="e">
        <f t="shared" si="0"/>
        <v>#DIV/0!</v>
      </c>
      <c r="X49" s="186" t="e">
        <f t="shared" si="7"/>
        <v>#DIV/0!</v>
      </c>
      <c r="Y49" s="179"/>
      <c r="Z49" s="196"/>
      <c r="AA49" s="196"/>
      <c r="AB49" s="196"/>
      <c r="AC49" s="179"/>
      <c r="AD49" s="179"/>
      <c r="AE49" s="179"/>
      <c r="AF49" s="179"/>
      <c r="AG49" s="179"/>
      <c r="AH49" s="194"/>
    </row>
    <row r="50" spans="1:34" ht="15.5" x14ac:dyDescent="0.35">
      <c r="A50" s="182">
        <v>41</v>
      </c>
      <c r="B50" s="26">
        <v>222301046</v>
      </c>
      <c r="C50" s="129" t="s">
        <v>168</v>
      </c>
      <c r="D50" s="183"/>
      <c r="E50" s="183" t="s">
        <v>26</v>
      </c>
      <c r="F50" s="184" t="s">
        <v>178</v>
      </c>
      <c r="G50" s="185">
        <v>83</v>
      </c>
      <c r="H50" s="2">
        <v>36</v>
      </c>
      <c r="I50" s="2">
        <v>78</v>
      </c>
      <c r="J50" s="103">
        <v>81</v>
      </c>
      <c r="K50" s="22">
        <v>84</v>
      </c>
      <c r="L50" s="22">
        <f t="shared" si="1"/>
        <v>82.5</v>
      </c>
      <c r="M50" s="19">
        <f t="shared" si="2"/>
        <v>82.122807017543863</v>
      </c>
      <c r="N50" s="186">
        <f t="shared" si="3"/>
        <v>58.625</v>
      </c>
      <c r="O50" s="179"/>
      <c r="P50" s="2">
        <f t="shared" si="4"/>
        <v>78</v>
      </c>
      <c r="Q50" s="22">
        <v>0</v>
      </c>
      <c r="R50" s="19">
        <f t="shared" si="5"/>
        <v>81.302608695652168</v>
      </c>
      <c r="S50" s="186">
        <f t="shared" si="6"/>
        <v>38</v>
      </c>
      <c r="T50" s="179"/>
      <c r="U50" s="2">
        <v>0</v>
      </c>
      <c r="V50" s="22">
        <v>0</v>
      </c>
      <c r="W50" s="19" t="e">
        <f t="shared" si="0"/>
        <v>#DIV/0!</v>
      </c>
      <c r="X50" s="186" t="e">
        <f t="shared" si="7"/>
        <v>#DIV/0!</v>
      </c>
      <c r="Y50" s="179"/>
      <c r="Z50" s="196"/>
      <c r="AA50" s="196"/>
      <c r="AB50" s="196"/>
      <c r="AC50" s="179"/>
      <c r="AD50" s="179"/>
      <c r="AE50" s="179"/>
      <c r="AF50" s="179"/>
      <c r="AG50" s="179"/>
      <c r="AH50" s="194"/>
    </row>
    <row r="51" spans="1:34" ht="15.5" x14ac:dyDescent="0.35">
      <c r="A51" s="182">
        <v>42</v>
      </c>
      <c r="B51" s="26">
        <v>222301047</v>
      </c>
      <c r="C51" s="129" t="s">
        <v>169</v>
      </c>
      <c r="D51" s="183" t="s">
        <v>26</v>
      </c>
      <c r="E51" s="183"/>
      <c r="F51" s="184" t="s">
        <v>178</v>
      </c>
      <c r="G51" s="185">
        <v>79</v>
      </c>
      <c r="H51" s="2">
        <v>35</v>
      </c>
      <c r="I51" s="2">
        <v>60</v>
      </c>
      <c r="J51" s="102">
        <v>81</v>
      </c>
      <c r="K51" s="22">
        <v>80</v>
      </c>
      <c r="L51" s="22">
        <f t="shared" si="1"/>
        <v>80.5</v>
      </c>
      <c r="M51" s="19">
        <f t="shared" si="2"/>
        <v>81.403508771929822</v>
      </c>
      <c r="N51" s="186">
        <f t="shared" si="3"/>
        <v>54.524999999999999</v>
      </c>
      <c r="O51" s="179"/>
      <c r="P51" s="2">
        <f t="shared" si="4"/>
        <v>60</v>
      </c>
      <c r="Q51" s="22">
        <v>0</v>
      </c>
      <c r="R51" s="19">
        <f t="shared" si="5"/>
        <v>80.55130434782609</v>
      </c>
      <c r="S51" s="186">
        <f t="shared" si="6"/>
        <v>34.4</v>
      </c>
      <c r="T51" s="179"/>
      <c r="U51" s="2">
        <v>0</v>
      </c>
      <c r="V51" s="22">
        <v>0</v>
      </c>
      <c r="W51" s="19" t="e">
        <f t="shared" si="0"/>
        <v>#DIV/0!</v>
      </c>
      <c r="X51" s="186" t="e">
        <f t="shared" si="7"/>
        <v>#DIV/0!</v>
      </c>
      <c r="Y51" s="179"/>
      <c r="Z51" s="179"/>
      <c r="AA51" s="179"/>
      <c r="AB51" s="179"/>
      <c r="AC51" s="179"/>
      <c r="AD51" s="179"/>
      <c r="AE51" s="179"/>
      <c r="AF51" s="179"/>
      <c r="AG51" s="179"/>
      <c r="AH51" s="194"/>
    </row>
    <row r="52" spans="1:34" ht="15.5" x14ac:dyDescent="0.35">
      <c r="A52" s="182">
        <v>43</v>
      </c>
      <c r="B52" s="26">
        <v>222301048</v>
      </c>
      <c r="C52" s="129" t="s">
        <v>170</v>
      </c>
      <c r="D52" s="183"/>
      <c r="E52" s="183" t="s">
        <v>26</v>
      </c>
      <c r="F52" s="184" t="s">
        <v>178</v>
      </c>
      <c r="G52" s="185">
        <v>83</v>
      </c>
      <c r="H52" s="2">
        <v>23</v>
      </c>
      <c r="I52" s="2">
        <v>25</v>
      </c>
      <c r="J52" s="103">
        <v>75</v>
      </c>
      <c r="K52" s="22">
        <v>80</v>
      </c>
      <c r="L52" s="22">
        <f t="shared" si="1"/>
        <v>77.5</v>
      </c>
      <c r="M52" s="19">
        <f t="shared" si="2"/>
        <v>79.368421052631575</v>
      </c>
      <c r="N52" s="186">
        <f t="shared" si="3"/>
        <v>42.924999999999997</v>
      </c>
      <c r="O52" s="179"/>
      <c r="P52" s="2">
        <f t="shared" si="4"/>
        <v>25</v>
      </c>
      <c r="Q52" s="22">
        <v>0</v>
      </c>
      <c r="R52" s="19">
        <f t="shared" si="5"/>
        <v>78.286956521739128</v>
      </c>
      <c r="S52" s="186">
        <f t="shared" si="6"/>
        <v>23.55</v>
      </c>
      <c r="T52" s="179"/>
      <c r="U52" s="2">
        <v>0</v>
      </c>
      <c r="V52" s="22">
        <v>0</v>
      </c>
      <c r="W52" s="19" t="e">
        <f t="shared" si="0"/>
        <v>#DIV/0!</v>
      </c>
      <c r="X52" s="186" t="e">
        <f t="shared" si="7"/>
        <v>#DIV/0!</v>
      </c>
      <c r="Y52" s="179"/>
      <c r="Z52" s="196"/>
      <c r="AA52" s="179"/>
      <c r="AB52" s="179"/>
      <c r="AC52" s="179"/>
      <c r="AD52" s="179"/>
      <c r="AE52" s="179"/>
      <c r="AF52" s="179"/>
      <c r="AG52" s="179"/>
      <c r="AH52" s="194"/>
    </row>
    <row r="53" spans="1:34" ht="15.5" x14ac:dyDescent="0.35">
      <c r="A53" s="182">
        <v>44</v>
      </c>
      <c r="B53" s="26">
        <v>222301049</v>
      </c>
      <c r="C53" s="129" t="s">
        <v>171</v>
      </c>
      <c r="D53" s="183"/>
      <c r="E53" s="183" t="s">
        <v>26</v>
      </c>
      <c r="F53" s="184" t="s">
        <v>178</v>
      </c>
      <c r="G53" s="185">
        <v>83</v>
      </c>
      <c r="H53" s="2">
        <v>22</v>
      </c>
      <c r="I53" s="2">
        <v>36</v>
      </c>
      <c r="J53" s="102">
        <v>47</v>
      </c>
      <c r="K53" s="22">
        <v>80</v>
      </c>
      <c r="L53" s="22">
        <f t="shared" si="1"/>
        <v>63.5</v>
      </c>
      <c r="M53" s="19">
        <f t="shared" si="2"/>
        <v>78.956140350877192</v>
      </c>
      <c r="N53" s="186">
        <f t="shared" si="3"/>
        <v>40.575000000000003</v>
      </c>
      <c r="O53" s="179"/>
      <c r="P53" s="2">
        <f t="shared" si="4"/>
        <v>36</v>
      </c>
      <c r="Q53" s="22">
        <v>0</v>
      </c>
      <c r="R53" s="19">
        <f t="shared" si="5"/>
        <v>78.526956521739123</v>
      </c>
      <c r="S53" s="186">
        <f t="shared" si="6"/>
        <v>24.7</v>
      </c>
      <c r="T53" s="179"/>
      <c r="U53" s="2">
        <v>0</v>
      </c>
      <c r="V53" s="22">
        <v>0</v>
      </c>
      <c r="W53" s="19" t="e">
        <f t="shared" ref="W53:W59" si="8">$V$64+((V53-$V$62)/($V$61-$V$62))*($V$65-$V$64)</f>
        <v>#DIV/0!</v>
      </c>
      <c r="X53" s="186" t="e">
        <f t="shared" si="7"/>
        <v>#DIV/0!</v>
      </c>
      <c r="Y53" s="179"/>
      <c r="Z53" s="179"/>
      <c r="AA53" s="196"/>
      <c r="AB53" s="179"/>
      <c r="AC53" s="179"/>
      <c r="AD53" s="179"/>
      <c r="AE53" s="179"/>
      <c r="AF53" s="179"/>
      <c r="AG53" s="179"/>
      <c r="AH53" s="194"/>
    </row>
    <row r="54" spans="1:34" ht="15.5" x14ac:dyDescent="0.35">
      <c r="A54" s="182">
        <v>45</v>
      </c>
      <c r="B54" s="26">
        <v>222301050</v>
      </c>
      <c r="C54" s="129" t="s">
        <v>172</v>
      </c>
      <c r="D54" s="183"/>
      <c r="E54" s="183" t="s">
        <v>26</v>
      </c>
      <c r="F54" s="184" t="s">
        <v>178</v>
      </c>
      <c r="G54" s="185">
        <v>83</v>
      </c>
      <c r="H54" s="2">
        <v>22</v>
      </c>
      <c r="I54" s="2">
        <v>42</v>
      </c>
      <c r="J54" s="102">
        <v>83</v>
      </c>
      <c r="K54" s="22">
        <v>80</v>
      </c>
      <c r="L54" s="22">
        <f t="shared" si="1"/>
        <v>81.5</v>
      </c>
      <c r="M54" s="19">
        <f t="shared" si="2"/>
        <v>79.903508771929822</v>
      </c>
      <c r="N54" s="186">
        <f t="shared" si="3"/>
        <v>45.975000000000001</v>
      </c>
      <c r="O54" s="179"/>
      <c r="P54" s="2">
        <f t="shared" si="4"/>
        <v>42</v>
      </c>
      <c r="Q54" s="22">
        <v>0</v>
      </c>
      <c r="R54" s="19">
        <f t="shared" si="5"/>
        <v>78.714782608695657</v>
      </c>
      <c r="S54" s="186">
        <f t="shared" si="6"/>
        <v>25.6</v>
      </c>
      <c r="T54" s="179"/>
      <c r="U54" s="2">
        <v>0</v>
      </c>
      <c r="V54" s="22">
        <v>0</v>
      </c>
      <c r="W54" s="19" t="e">
        <f t="shared" si="8"/>
        <v>#DIV/0!</v>
      </c>
      <c r="X54" s="186" t="e">
        <f t="shared" si="7"/>
        <v>#DIV/0!</v>
      </c>
      <c r="Y54" s="179"/>
      <c r="Z54" s="196"/>
      <c r="AA54" s="179"/>
      <c r="AB54" s="179"/>
      <c r="AC54" s="179"/>
      <c r="AD54" s="179"/>
      <c r="AE54" s="179"/>
      <c r="AF54" s="179"/>
      <c r="AG54" s="179"/>
      <c r="AH54" s="194"/>
    </row>
    <row r="55" spans="1:34" ht="15.5" x14ac:dyDescent="0.35">
      <c r="A55" s="182">
        <v>46</v>
      </c>
      <c r="B55" s="26">
        <v>222301051</v>
      </c>
      <c r="C55" s="129" t="s">
        <v>173</v>
      </c>
      <c r="D55" s="183"/>
      <c r="E55" s="183" t="s">
        <v>26</v>
      </c>
      <c r="F55" s="184" t="s">
        <v>178</v>
      </c>
      <c r="G55" s="185">
        <v>83</v>
      </c>
      <c r="H55" s="2">
        <v>24</v>
      </c>
      <c r="I55" s="2">
        <v>78</v>
      </c>
      <c r="J55" s="102">
        <v>77</v>
      </c>
      <c r="K55" s="22">
        <v>87</v>
      </c>
      <c r="L55" s="22">
        <f t="shared" si="1"/>
        <v>82</v>
      </c>
      <c r="M55" s="19">
        <f t="shared" si="2"/>
        <v>81.048245614035082</v>
      </c>
      <c r="N55" s="186">
        <f t="shared" si="3"/>
        <v>52.5</v>
      </c>
      <c r="O55" s="179"/>
      <c r="P55" s="2">
        <f t="shared" si="4"/>
        <v>78</v>
      </c>
      <c r="Q55" s="22">
        <v>0</v>
      </c>
      <c r="R55" s="19">
        <f t="shared" si="5"/>
        <v>80.05043478260869</v>
      </c>
      <c r="S55" s="186">
        <f t="shared" si="6"/>
        <v>32</v>
      </c>
      <c r="T55" s="179"/>
      <c r="U55" s="2">
        <v>0</v>
      </c>
      <c r="V55" s="22">
        <v>0</v>
      </c>
      <c r="W55" s="19" t="e">
        <f t="shared" si="8"/>
        <v>#DIV/0!</v>
      </c>
      <c r="X55" s="186" t="e">
        <f t="shared" si="7"/>
        <v>#DIV/0!</v>
      </c>
      <c r="Y55" s="179"/>
      <c r="Z55" s="196"/>
      <c r="AA55" s="179"/>
      <c r="AB55" s="196"/>
      <c r="AC55" s="179"/>
      <c r="AD55" s="179"/>
      <c r="AE55" s="179"/>
      <c r="AF55" s="179"/>
      <c r="AG55" s="179"/>
      <c r="AH55" s="194"/>
    </row>
    <row r="56" spans="1:34" ht="15.5" x14ac:dyDescent="0.35">
      <c r="A56" s="182">
        <v>47</v>
      </c>
      <c r="B56" s="26">
        <v>222301052</v>
      </c>
      <c r="C56" s="129" t="s">
        <v>174</v>
      </c>
      <c r="D56" s="183"/>
      <c r="E56" s="183" t="s">
        <v>26</v>
      </c>
      <c r="F56" s="184" t="s">
        <v>178</v>
      </c>
      <c r="G56" s="185">
        <v>83</v>
      </c>
      <c r="H56" s="2">
        <v>36</v>
      </c>
      <c r="I56" s="2">
        <v>60</v>
      </c>
      <c r="J56" s="102">
        <v>81</v>
      </c>
      <c r="K56" s="22">
        <v>88</v>
      </c>
      <c r="L56" s="22">
        <f t="shared" si="1"/>
        <v>84.5</v>
      </c>
      <c r="M56" s="19">
        <f t="shared" si="2"/>
        <v>81.73684210526315</v>
      </c>
      <c r="N56" s="186">
        <f t="shared" si="3"/>
        <v>56.424999999999997</v>
      </c>
      <c r="O56" s="179"/>
      <c r="P56" s="2">
        <f t="shared" si="4"/>
        <v>60</v>
      </c>
      <c r="Q56" s="22">
        <v>0</v>
      </c>
      <c r="R56" s="19">
        <f t="shared" si="5"/>
        <v>80.739130434782609</v>
      </c>
      <c r="S56" s="186">
        <f t="shared" si="6"/>
        <v>35.299999999999997</v>
      </c>
      <c r="T56" s="179"/>
      <c r="U56" s="2">
        <v>0</v>
      </c>
      <c r="V56" s="22">
        <v>0</v>
      </c>
      <c r="W56" s="19" t="e">
        <f t="shared" si="8"/>
        <v>#DIV/0!</v>
      </c>
      <c r="X56" s="186" t="e">
        <f t="shared" si="7"/>
        <v>#DIV/0!</v>
      </c>
      <c r="Y56" s="179"/>
      <c r="Z56" s="196"/>
      <c r="AA56" s="196"/>
      <c r="AB56" s="196"/>
      <c r="AC56" s="196"/>
      <c r="AD56" s="196"/>
      <c r="AE56" s="179"/>
      <c r="AF56" s="196"/>
      <c r="AG56" s="179"/>
      <c r="AH56" s="194"/>
    </row>
    <row r="57" spans="1:34" ht="15.5" x14ac:dyDescent="0.35">
      <c r="A57" s="182">
        <v>48</v>
      </c>
      <c r="B57" s="26">
        <v>222301053</v>
      </c>
      <c r="C57" s="129" t="s">
        <v>175</v>
      </c>
      <c r="D57" s="183" t="s">
        <v>26</v>
      </c>
      <c r="E57" s="183"/>
      <c r="F57" s="184" t="s">
        <v>178</v>
      </c>
      <c r="G57" s="185">
        <v>83</v>
      </c>
      <c r="H57" s="2">
        <v>13</v>
      </c>
      <c r="I57" s="2">
        <v>48</v>
      </c>
      <c r="J57" s="102">
        <v>79</v>
      </c>
      <c r="K57" s="22">
        <v>85</v>
      </c>
      <c r="L57" s="22">
        <f t="shared" si="1"/>
        <v>82</v>
      </c>
      <c r="M57" s="19">
        <f t="shared" si="2"/>
        <v>79.293859649122808</v>
      </c>
      <c r="N57" s="186">
        <f t="shared" si="3"/>
        <v>42.5</v>
      </c>
      <c r="O57" s="179"/>
      <c r="P57" s="2">
        <f t="shared" si="4"/>
        <v>48</v>
      </c>
      <c r="Q57" s="22">
        <v>0</v>
      </c>
      <c r="R57" s="19">
        <f t="shared" si="5"/>
        <v>77.963478260869564</v>
      </c>
      <c r="S57" s="186">
        <f t="shared" si="6"/>
        <v>22</v>
      </c>
      <c r="T57" s="179"/>
      <c r="U57" s="2">
        <v>0</v>
      </c>
      <c r="V57" s="22">
        <v>0</v>
      </c>
      <c r="W57" s="19" t="e">
        <f t="shared" si="8"/>
        <v>#DIV/0!</v>
      </c>
      <c r="X57" s="186" t="e">
        <f t="shared" si="7"/>
        <v>#DIV/0!</v>
      </c>
      <c r="Y57" s="179"/>
      <c r="Z57" s="196"/>
      <c r="AA57" s="179"/>
      <c r="AB57" s="179"/>
      <c r="AC57" s="179"/>
      <c r="AD57" s="179"/>
      <c r="AE57" s="179"/>
      <c r="AF57" s="179"/>
      <c r="AG57" s="179"/>
      <c r="AH57" s="194"/>
    </row>
    <row r="58" spans="1:34" ht="15.5" x14ac:dyDescent="0.35">
      <c r="A58" s="182">
        <v>49</v>
      </c>
      <c r="B58" s="26">
        <v>222301054</v>
      </c>
      <c r="C58" s="129" t="s">
        <v>176</v>
      </c>
      <c r="D58" s="183" t="s">
        <v>26</v>
      </c>
      <c r="E58" s="183"/>
      <c r="F58" s="184" t="s">
        <v>178</v>
      </c>
      <c r="G58" s="185">
        <v>83</v>
      </c>
      <c r="H58" s="2">
        <v>35</v>
      </c>
      <c r="I58" s="2">
        <v>30</v>
      </c>
      <c r="J58" s="102">
        <v>81</v>
      </c>
      <c r="K58" s="22">
        <v>85</v>
      </c>
      <c r="L58" s="22">
        <f t="shared" si="1"/>
        <v>83</v>
      </c>
      <c r="M58" s="19">
        <f t="shared" si="2"/>
        <v>80.793859649122808</v>
      </c>
      <c r="N58" s="186">
        <f t="shared" si="3"/>
        <v>51.05</v>
      </c>
      <c r="O58" s="179"/>
      <c r="P58" s="2">
        <f t="shared" si="4"/>
        <v>30</v>
      </c>
      <c r="Q58" s="22">
        <v>0</v>
      </c>
      <c r="R58" s="19">
        <f t="shared" si="5"/>
        <v>79.695652173913047</v>
      </c>
      <c r="S58" s="186">
        <f t="shared" si="6"/>
        <v>30.3</v>
      </c>
      <c r="T58" s="179"/>
      <c r="U58" s="2">
        <v>0</v>
      </c>
      <c r="V58" s="22">
        <v>0</v>
      </c>
      <c r="W58" s="19" t="e">
        <f t="shared" si="8"/>
        <v>#DIV/0!</v>
      </c>
      <c r="X58" s="186" t="e">
        <f t="shared" si="7"/>
        <v>#DIV/0!</v>
      </c>
      <c r="Y58" s="179"/>
      <c r="Z58" s="196"/>
      <c r="AA58" s="196"/>
      <c r="AB58" s="179"/>
      <c r="AC58" s="179"/>
      <c r="AD58" s="179"/>
      <c r="AE58" s="179"/>
      <c r="AF58" s="179"/>
      <c r="AG58" s="179"/>
      <c r="AH58" s="194"/>
    </row>
    <row r="59" spans="1:34" ht="15.5" x14ac:dyDescent="0.35">
      <c r="A59" s="182">
        <v>50</v>
      </c>
      <c r="B59" s="26">
        <v>222301056</v>
      </c>
      <c r="C59" s="129" t="s">
        <v>177</v>
      </c>
      <c r="D59" s="183" t="s">
        <v>26</v>
      </c>
      <c r="E59" s="183"/>
      <c r="F59" s="184" t="s">
        <v>178</v>
      </c>
      <c r="G59" s="185">
        <v>78</v>
      </c>
      <c r="H59" s="2">
        <v>24</v>
      </c>
      <c r="I59" s="2">
        <v>40</v>
      </c>
      <c r="J59" s="103">
        <v>81</v>
      </c>
      <c r="K59" s="22">
        <v>88</v>
      </c>
      <c r="L59" s="22">
        <f t="shared" si="1"/>
        <v>84.5</v>
      </c>
      <c r="M59" s="19">
        <f t="shared" si="2"/>
        <v>80.070175438596493</v>
      </c>
      <c r="N59" s="186">
        <f t="shared" si="3"/>
        <v>46.924999999999997</v>
      </c>
      <c r="O59" s="179"/>
      <c r="P59" s="2">
        <f t="shared" si="4"/>
        <v>40</v>
      </c>
      <c r="Q59" s="22">
        <v>0</v>
      </c>
      <c r="R59" s="19">
        <f t="shared" si="5"/>
        <v>78.756521739130434</v>
      </c>
      <c r="S59" s="186">
        <f t="shared" si="6"/>
        <v>25.8</v>
      </c>
      <c r="T59" s="179"/>
      <c r="U59" s="2">
        <v>0</v>
      </c>
      <c r="V59" s="22">
        <v>0</v>
      </c>
      <c r="W59" s="19" t="e">
        <f t="shared" si="8"/>
        <v>#DIV/0!</v>
      </c>
      <c r="X59" s="186" t="e">
        <f t="shared" si="7"/>
        <v>#DIV/0!</v>
      </c>
      <c r="Y59" s="179"/>
      <c r="Z59" s="196"/>
      <c r="AA59" s="196"/>
      <c r="AB59" s="196"/>
      <c r="AC59" s="179"/>
      <c r="AD59" s="179"/>
      <c r="AE59" s="179"/>
      <c r="AF59" s="179"/>
      <c r="AG59" s="179"/>
      <c r="AH59" s="194"/>
    </row>
    <row r="60" spans="1:34" x14ac:dyDescent="0.35">
      <c r="A60" s="43"/>
      <c r="B60" s="44"/>
      <c r="C60" s="44"/>
      <c r="D60" s="398" t="s">
        <v>5</v>
      </c>
      <c r="E60" s="399"/>
      <c r="F60" s="400"/>
      <c r="G60" s="52">
        <f t="shared" ref="G60" si="9">AVERAGE(G10:G59)</f>
        <v>81.2</v>
      </c>
      <c r="H60" s="52">
        <f t="shared" ref="H60" si="10">AVERAGE(H10:H59)</f>
        <v>45.72</v>
      </c>
      <c r="I60" s="52">
        <f t="shared" ref="I60" si="11">AVERAGE(I10:I59)</f>
        <v>48.74</v>
      </c>
      <c r="J60" s="52">
        <f t="shared" ref="J60" si="12">AVERAGE(J10:J59)</f>
        <v>72.38</v>
      </c>
      <c r="K60" s="52">
        <f t="shared" ref="K60" si="13">AVERAGE(K10:K59)</f>
        <v>76.459999999999994</v>
      </c>
      <c r="L60" s="52">
        <f t="shared" ref="L60" si="14">AVERAGE(L10:L59)</f>
        <v>74.42</v>
      </c>
      <c r="M60" s="52">
        <f t="shared" ref="M60" si="15">AVERAGE(M10:M59)</f>
        <v>81.819473684210521</v>
      </c>
      <c r="N60" s="52">
        <f t="shared" ref="N60" si="16">AVERAGE(N10:N59)</f>
        <v>56.896000000000001</v>
      </c>
      <c r="O60" s="9"/>
      <c r="P60" s="52">
        <f>AVERAGE(P10:P59)</f>
        <v>48.74</v>
      </c>
      <c r="Q60" s="52">
        <f t="shared" ref="Q60:S60" si="17">AVERAGE(Q10:Q59)</f>
        <v>0</v>
      </c>
      <c r="R60" s="52">
        <f t="shared" si="17"/>
        <v>81.363339130434767</v>
      </c>
      <c r="S60" s="52">
        <f t="shared" si="17"/>
        <v>38.290999999999997</v>
      </c>
      <c r="U60" s="52">
        <f>AVERAGE(U10:U59)</f>
        <v>0</v>
      </c>
      <c r="V60" s="52">
        <f>AVERAGE(V10:V59)</f>
        <v>0</v>
      </c>
      <c r="W60" s="52" t="e">
        <f>AVERAGE(W10:W59)</f>
        <v>#DIV/0!</v>
      </c>
      <c r="X60" s="178" t="e">
        <f>AVERAGE(X10:X59)</f>
        <v>#DIV/0!</v>
      </c>
    </row>
    <row r="61" spans="1:34" x14ac:dyDescent="0.35">
      <c r="A61" s="43"/>
      <c r="B61" s="44"/>
      <c r="C61" s="44"/>
      <c r="D61" s="326" t="s">
        <v>6</v>
      </c>
      <c r="E61" s="327"/>
      <c r="F61" s="328"/>
      <c r="G61" s="10">
        <f t="shared" ref="G61:N61" si="18">MAX(G10:G59)</f>
        <v>83</v>
      </c>
      <c r="H61" s="10">
        <f t="shared" si="18"/>
        <v>91</v>
      </c>
      <c r="I61" s="10">
        <f t="shared" si="18"/>
        <v>83</v>
      </c>
      <c r="J61" s="10">
        <f t="shared" si="18"/>
        <v>83</v>
      </c>
      <c r="K61" s="10">
        <f t="shared" si="18"/>
        <v>89</v>
      </c>
      <c r="L61" s="10">
        <f t="shared" si="18"/>
        <v>85</v>
      </c>
      <c r="M61" s="10">
        <f t="shared" si="18"/>
        <v>87</v>
      </c>
      <c r="N61" s="10">
        <f t="shared" si="18"/>
        <v>86.424999999999997</v>
      </c>
      <c r="O61" s="9"/>
      <c r="P61" s="10">
        <f>MAX(P10:P59)</f>
        <v>83</v>
      </c>
      <c r="Q61" s="10">
        <f t="shared" ref="Q61:S61" si="19">MAX(Q10:Q59)</f>
        <v>0</v>
      </c>
      <c r="R61" s="10">
        <f t="shared" si="19"/>
        <v>87</v>
      </c>
      <c r="S61" s="10">
        <f t="shared" si="19"/>
        <v>65.3</v>
      </c>
      <c r="U61" s="10">
        <f>MAX(U10:U59)</f>
        <v>0</v>
      </c>
      <c r="V61" s="10">
        <f>MAX(V10:V59)</f>
        <v>0</v>
      </c>
      <c r="W61" s="10" t="e">
        <f>MAX(W10:W59)</f>
        <v>#DIV/0!</v>
      </c>
      <c r="X61" s="50" t="e">
        <f>MAX(X10:X59)</f>
        <v>#DIV/0!</v>
      </c>
    </row>
    <row r="62" spans="1:34" s="13" customFormat="1" x14ac:dyDescent="0.35">
      <c r="A62" s="45"/>
      <c r="B62" s="46"/>
      <c r="C62" s="46"/>
      <c r="D62" s="329" t="s">
        <v>7</v>
      </c>
      <c r="E62" s="330"/>
      <c r="F62" s="331"/>
      <c r="G62" s="12">
        <f t="shared" ref="G62:N62" si="20">MIN(G10:G59)</f>
        <v>77</v>
      </c>
      <c r="H62" s="12">
        <f t="shared" si="20"/>
        <v>0</v>
      </c>
      <c r="I62" s="12">
        <f t="shared" si="20"/>
        <v>0</v>
      </c>
      <c r="J62" s="12">
        <f t="shared" si="20"/>
        <v>0</v>
      </c>
      <c r="K62" s="12">
        <f t="shared" si="20"/>
        <v>0</v>
      </c>
      <c r="L62" s="12">
        <f t="shared" si="20"/>
        <v>35</v>
      </c>
      <c r="M62" s="12">
        <f t="shared" si="20"/>
        <v>75</v>
      </c>
      <c r="N62" s="12">
        <f t="shared" si="20"/>
        <v>18.024999999999999</v>
      </c>
      <c r="O62" s="11"/>
      <c r="P62" s="12">
        <f>MIN(P10:P59)</f>
        <v>0</v>
      </c>
      <c r="Q62" s="12">
        <f t="shared" ref="Q62:S62" si="21">MIN(Q10:Q59)</f>
        <v>0</v>
      </c>
      <c r="R62" s="12">
        <f t="shared" si="21"/>
        <v>75</v>
      </c>
      <c r="S62" s="12">
        <f t="shared" si="21"/>
        <v>7.8000000000000007</v>
      </c>
      <c r="U62" s="12">
        <f>MIN(U10:U59)</f>
        <v>0</v>
      </c>
      <c r="V62" s="12">
        <f>MIN(V10:V59)</f>
        <v>0</v>
      </c>
      <c r="W62" s="12" t="e">
        <f>MIN(W10:W59)</f>
        <v>#DIV/0!</v>
      </c>
      <c r="X62" s="51" t="e">
        <f>MIN(X10:X59)</f>
        <v>#DIV/0!</v>
      </c>
    </row>
    <row r="63" spans="1:34" x14ac:dyDescent="0.35">
      <c r="A63" s="43"/>
      <c r="B63" s="44"/>
      <c r="C63" s="44"/>
      <c r="D63" s="326" t="s">
        <v>8</v>
      </c>
      <c r="E63" s="327"/>
      <c r="F63" s="328"/>
      <c r="G63" s="10">
        <f t="shared" ref="G63:N63" si="22">STDEV(G10:G59)</f>
        <v>2.1189138534559029</v>
      </c>
      <c r="H63" s="10">
        <f t="shared" si="22"/>
        <v>27.573308596154643</v>
      </c>
      <c r="I63" s="10">
        <f t="shared" si="22"/>
        <v>26.64338184086936</v>
      </c>
      <c r="J63" s="10">
        <f t="shared" si="22"/>
        <v>20.020285630697025</v>
      </c>
      <c r="K63" s="10">
        <f t="shared" si="22"/>
        <v>23.26002965586752</v>
      </c>
      <c r="L63" s="10">
        <f t="shared" si="22"/>
        <v>14.844898800873084</v>
      </c>
      <c r="M63" s="10">
        <f t="shared" si="22"/>
        <v>3.0279414885537586</v>
      </c>
      <c r="N63" s="10">
        <f t="shared" si="22"/>
        <v>17.25926648475642</v>
      </c>
      <c r="O63" s="9"/>
      <c r="P63" s="10">
        <f>STDEV(P10:P59)</f>
        <v>26.64338184086936</v>
      </c>
      <c r="Q63" s="10">
        <f t="shared" ref="Q63:S63" si="23">STDEV(Q10:Q59)</f>
        <v>0</v>
      </c>
      <c r="R63" s="10">
        <f t="shared" si="23"/>
        <v>3.2313341254407657</v>
      </c>
      <c r="S63" s="10">
        <f t="shared" si="23"/>
        <v>15.483476017737003</v>
      </c>
      <c r="U63" s="10">
        <f>STDEV(U10:U59)</f>
        <v>0</v>
      </c>
      <c r="V63" s="10">
        <f>STDEV(V10:V59)</f>
        <v>0</v>
      </c>
      <c r="W63" s="10" t="e">
        <f>STDEV(W10:W59)</f>
        <v>#DIV/0!</v>
      </c>
      <c r="X63" s="50" t="e">
        <f>STDEV(X10:X59)</f>
        <v>#DIV/0!</v>
      </c>
    </row>
    <row r="64" spans="1:34" x14ac:dyDescent="0.35">
      <c r="A64" s="43"/>
      <c r="B64" s="47"/>
      <c r="C64" s="47"/>
      <c r="D64" s="332" t="s">
        <v>9</v>
      </c>
      <c r="E64" s="333"/>
      <c r="F64" s="334"/>
      <c r="G64" s="14">
        <v>75</v>
      </c>
      <c r="H64" s="14">
        <v>75</v>
      </c>
      <c r="I64" s="14">
        <v>75</v>
      </c>
      <c r="J64" s="14">
        <v>75</v>
      </c>
      <c r="K64" s="14">
        <v>75</v>
      </c>
      <c r="L64" s="14">
        <v>75</v>
      </c>
      <c r="M64" s="14">
        <v>75</v>
      </c>
      <c r="N64" s="14">
        <v>75</v>
      </c>
      <c r="P64" s="14">
        <v>75</v>
      </c>
      <c r="Q64" s="14">
        <v>75</v>
      </c>
      <c r="R64" s="14">
        <v>75</v>
      </c>
      <c r="S64" s="14">
        <v>75</v>
      </c>
      <c r="U64" s="14">
        <v>80</v>
      </c>
      <c r="V64" s="23">
        <v>80</v>
      </c>
      <c r="W64" s="23">
        <v>80</v>
      </c>
      <c r="X64" s="15">
        <v>80</v>
      </c>
    </row>
    <row r="65" spans="1:24" ht="15" thickBot="1" x14ac:dyDescent="0.4">
      <c r="A65" s="43"/>
      <c r="B65" s="47"/>
      <c r="C65" s="47"/>
      <c r="D65" s="320" t="s">
        <v>10</v>
      </c>
      <c r="E65" s="321"/>
      <c r="F65" s="322"/>
      <c r="G65" s="16">
        <v>87</v>
      </c>
      <c r="H65" s="16">
        <v>87</v>
      </c>
      <c r="I65" s="16">
        <v>87</v>
      </c>
      <c r="J65" s="16">
        <v>87</v>
      </c>
      <c r="K65" s="16">
        <v>87</v>
      </c>
      <c r="L65" s="16">
        <v>87</v>
      </c>
      <c r="M65" s="16">
        <v>87</v>
      </c>
      <c r="N65" s="16">
        <v>87</v>
      </c>
      <c r="P65" s="16">
        <v>87</v>
      </c>
      <c r="Q65" s="16">
        <v>87</v>
      </c>
      <c r="R65" s="16">
        <v>87</v>
      </c>
      <c r="S65" s="16">
        <v>87</v>
      </c>
      <c r="U65" s="16">
        <v>95</v>
      </c>
      <c r="V65" s="28">
        <v>95</v>
      </c>
      <c r="W65" s="28">
        <v>95</v>
      </c>
      <c r="X65" s="17">
        <v>95</v>
      </c>
    </row>
    <row r="66" spans="1:24" x14ac:dyDescent="0.35">
      <c r="G66" s="6"/>
      <c r="H66" s="6"/>
      <c r="I66" s="6"/>
      <c r="J66" s="6"/>
      <c r="K66" s="6"/>
      <c r="L66" s="6"/>
      <c r="M66" s="6"/>
      <c r="N66" s="6"/>
      <c r="P66" s="6"/>
      <c r="Q66" s="6"/>
      <c r="R66" s="6"/>
      <c r="S66" s="6"/>
      <c r="U66" s="6"/>
      <c r="V66" s="6"/>
      <c r="W66" s="6"/>
      <c r="X66" s="6"/>
    </row>
    <row r="67" spans="1:24" x14ac:dyDescent="0.35">
      <c r="G67" s="6"/>
      <c r="H67" s="6"/>
      <c r="I67" s="6"/>
      <c r="J67" s="6"/>
      <c r="K67" s="6"/>
      <c r="L67" s="6"/>
      <c r="M67" s="6"/>
      <c r="N67" s="6"/>
      <c r="P67" s="6"/>
      <c r="Q67" s="6"/>
      <c r="R67" s="6"/>
      <c r="S67" s="6"/>
      <c r="U67" s="6"/>
      <c r="V67" s="6"/>
      <c r="W67" s="6"/>
      <c r="X67" s="6"/>
    </row>
    <row r="68" spans="1:24" x14ac:dyDescent="0.35">
      <c r="G68" s="6"/>
      <c r="H68" s="6"/>
      <c r="I68" s="6"/>
      <c r="J68" s="6"/>
      <c r="K68" s="6"/>
      <c r="L68" s="6"/>
      <c r="M68" s="6"/>
      <c r="N68" s="6"/>
      <c r="P68" s="6"/>
      <c r="Q68" s="6"/>
      <c r="R68" s="6"/>
      <c r="S68" s="6"/>
      <c r="U68" s="6"/>
      <c r="V68" s="6"/>
      <c r="W68" s="6"/>
      <c r="X68" s="6"/>
    </row>
    <row r="69" spans="1:24" x14ac:dyDescent="0.35">
      <c r="G69" s="6"/>
      <c r="H69" s="6"/>
      <c r="I69" s="6"/>
      <c r="J69" s="6"/>
      <c r="K69" s="6"/>
      <c r="L69" s="6"/>
      <c r="M69" s="6"/>
      <c r="N69" s="6"/>
      <c r="P69" s="6"/>
      <c r="Q69" s="6"/>
      <c r="R69" s="6"/>
      <c r="S69" s="6"/>
      <c r="U69" s="6"/>
      <c r="V69" s="6"/>
      <c r="W69" s="6"/>
      <c r="X69" s="6"/>
    </row>
    <row r="70" spans="1:24" x14ac:dyDescent="0.35">
      <c r="B70" s="4"/>
      <c r="G70" s="6"/>
      <c r="H70" s="6"/>
      <c r="I70" s="6"/>
      <c r="J70" s="6"/>
      <c r="K70" s="6"/>
      <c r="L70" s="6"/>
      <c r="M70" s="6"/>
      <c r="N70" s="6"/>
      <c r="P70" s="6"/>
      <c r="Q70" s="6"/>
      <c r="R70" s="6"/>
      <c r="S70" s="6"/>
      <c r="U70" s="6"/>
      <c r="V70" s="6"/>
      <c r="W70" s="6"/>
      <c r="X70" s="6"/>
    </row>
    <row r="71" spans="1:24" x14ac:dyDescent="0.35">
      <c r="G71" s="6"/>
      <c r="H71" s="6"/>
      <c r="I71" s="6"/>
      <c r="J71" s="6"/>
      <c r="K71" s="6"/>
      <c r="L71" s="6"/>
      <c r="M71" s="6"/>
      <c r="N71" s="6"/>
      <c r="P71" s="6"/>
      <c r="Q71" s="6"/>
      <c r="R71" s="6"/>
      <c r="S71" s="6"/>
      <c r="U71" s="6"/>
      <c r="V71" s="6"/>
      <c r="W71" s="6"/>
      <c r="X71" s="6"/>
    </row>
  </sheetData>
  <mergeCells count="29">
    <mergeCell ref="D64:F64"/>
    <mergeCell ref="D65:F65"/>
    <mergeCell ref="J8:K8"/>
    <mergeCell ref="L8:L9"/>
    <mergeCell ref="D9:E9"/>
    <mergeCell ref="D60:F60"/>
    <mergeCell ref="D61:F61"/>
    <mergeCell ref="D62:F62"/>
    <mergeCell ref="U6:X6"/>
    <mergeCell ref="G7:N7"/>
    <mergeCell ref="P7:S7"/>
    <mergeCell ref="U7:X7"/>
    <mergeCell ref="D63:F63"/>
    <mergeCell ref="AC32:AG32"/>
    <mergeCell ref="AB27:AF27"/>
    <mergeCell ref="Z5:AH8"/>
    <mergeCell ref="A1:X1"/>
    <mergeCell ref="A2:X2"/>
    <mergeCell ref="A3:X3"/>
    <mergeCell ref="A5:A8"/>
    <mergeCell ref="B5:B8"/>
    <mergeCell ref="C5:C8"/>
    <mergeCell ref="D5:E8"/>
    <mergeCell ref="F5:F8"/>
    <mergeCell ref="G5:N5"/>
    <mergeCell ref="P5:S5"/>
    <mergeCell ref="U5:X5"/>
    <mergeCell ref="G6:N6"/>
    <mergeCell ref="P6:S6"/>
  </mergeCells>
  <conditionalFormatting sqref="C10:C37 C39:C49 C51:C59">
    <cfRule type="expression" dxfId="2" priority="5">
      <formula>COUNTIF(C:C,C10)&gt;1</formula>
    </cfRule>
  </conditionalFormatting>
  <conditionalFormatting sqref="C50">
    <cfRule type="expression" dxfId="1" priority="2">
      <formula>COUNTIF(Q:Q,C50)&gt;1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opLeftCell="B34" zoomScaleNormal="100" workbookViewId="0">
      <selection activeCell="F52" sqref="F52"/>
    </sheetView>
  </sheetViews>
  <sheetFormatPr defaultRowHeight="14.5" x14ac:dyDescent="0.35"/>
  <cols>
    <col min="1" max="1" width="4.7265625" customWidth="1"/>
    <col min="2" max="2" width="45.1796875" bestFit="1" customWidth="1"/>
    <col min="3" max="3" width="12.1796875" bestFit="1" customWidth="1"/>
    <col min="4" max="4" width="5.7265625" bestFit="1" customWidth="1"/>
    <col min="5" max="5" width="14" bestFit="1" customWidth="1"/>
    <col min="6" max="6" width="17.1796875" bestFit="1" customWidth="1"/>
    <col min="8" max="8" width="17.1796875" bestFit="1" customWidth="1"/>
    <col min="9" max="9" width="10.7265625" customWidth="1"/>
    <col min="10" max="10" width="35.7265625" bestFit="1" customWidth="1"/>
    <col min="11" max="11" width="30.54296875" customWidth="1"/>
    <col min="12" max="12" width="34.26953125" bestFit="1" customWidth="1"/>
  </cols>
  <sheetData>
    <row r="1" spans="1:12" ht="15" customHeight="1" x14ac:dyDescent="0.35">
      <c r="A1" s="401" t="s">
        <v>212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</row>
    <row r="2" spans="1:12" ht="15" customHeight="1" x14ac:dyDescent="0.35">
      <c r="A2" s="401"/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</row>
    <row r="3" spans="1:12" ht="15" customHeight="1" x14ac:dyDescent="0.35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2" ht="17.5" x14ac:dyDescent="0.35">
      <c r="A4" s="402" t="s">
        <v>218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</row>
    <row r="5" spans="1:12" ht="15" thickBot="1" x14ac:dyDescent="0.4"/>
    <row r="6" spans="1:12" ht="18" thickBot="1" x14ac:dyDescent="0.4">
      <c r="A6" s="137" t="s">
        <v>1</v>
      </c>
      <c r="B6" s="138" t="s">
        <v>188</v>
      </c>
      <c r="C6" s="138" t="s">
        <v>36</v>
      </c>
      <c r="D6" s="405" t="s">
        <v>189</v>
      </c>
      <c r="E6" s="405"/>
      <c r="F6" s="406"/>
      <c r="H6" s="407" t="s">
        <v>200</v>
      </c>
      <c r="I6" s="408"/>
      <c r="J6" s="408"/>
      <c r="K6" s="154" t="s">
        <v>213</v>
      </c>
      <c r="L6" s="155" t="s">
        <v>214</v>
      </c>
    </row>
    <row r="7" spans="1:12" ht="43.5" x14ac:dyDescent="0.35">
      <c r="A7" s="156">
        <v>1</v>
      </c>
      <c r="B7" s="131" t="s">
        <v>27</v>
      </c>
      <c r="C7" s="142" t="s">
        <v>190</v>
      </c>
      <c r="D7" s="159"/>
      <c r="E7" s="159"/>
      <c r="F7" s="160" t="s">
        <v>192</v>
      </c>
      <c r="H7" s="147" t="s">
        <v>198</v>
      </c>
      <c r="I7" s="409" t="s">
        <v>199</v>
      </c>
      <c r="J7" s="148" t="s">
        <v>205</v>
      </c>
      <c r="K7" s="153" t="s">
        <v>216</v>
      </c>
      <c r="L7" s="403" t="s">
        <v>215</v>
      </c>
    </row>
    <row r="8" spans="1:12" ht="15.5" x14ac:dyDescent="0.35">
      <c r="A8" s="157">
        <v>2</v>
      </c>
      <c r="B8" s="124" t="s">
        <v>28</v>
      </c>
      <c r="C8" s="123" t="s">
        <v>190</v>
      </c>
      <c r="D8" s="161"/>
      <c r="E8" s="161"/>
      <c r="F8" s="162" t="s">
        <v>192</v>
      </c>
      <c r="H8" s="140" t="s">
        <v>193</v>
      </c>
      <c r="I8" s="410"/>
      <c r="J8" s="145" t="s">
        <v>203</v>
      </c>
      <c r="K8" s="151" t="s">
        <v>217</v>
      </c>
      <c r="L8" s="403"/>
    </row>
    <row r="9" spans="1:12" ht="58.5" thickBot="1" x14ac:dyDescent="0.4">
      <c r="A9" s="157">
        <v>3</v>
      </c>
      <c r="B9" s="124" t="s">
        <v>34</v>
      </c>
      <c r="C9" s="123" t="s">
        <v>190</v>
      </c>
      <c r="D9" s="161"/>
      <c r="E9" s="161"/>
      <c r="F9" s="162" t="s">
        <v>192</v>
      </c>
      <c r="H9" s="141" t="s">
        <v>192</v>
      </c>
      <c r="I9" s="411"/>
      <c r="J9" s="146" t="s">
        <v>204</v>
      </c>
      <c r="K9" s="152" t="s">
        <v>219</v>
      </c>
      <c r="L9" s="403"/>
    </row>
    <row r="10" spans="1:12" ht="43.5" x14ac:dyDescent="0.35">
      <c r="A10" s="157">
        <v>4</v>
      </c>
      <c r="B10" s="125" t="s">
        <v>40</v>
      </c>
      <c r="C10" s="123" t="s">
        <v>191</v>
      </c>
      <c r="D10" s="161"/>
      <c r="E10" s="161"/>
      <c r="F10" s="162" t="s">
        <v>192</v>
      </c>
      <c r="H10" s="139" t="s">
        <v>198</v>
      </c>
      <c r="I10" s="412" t="s">
        <v>201</v>
      </c>
      <c r="J10" s="149" t="s">
        <v>206</v>
      </c>
      <c r="K10" s="150" t="s">
        <v>216</v>
      </c>
      <c r="L10" s="403"/>
    </row>
    <row r="11" spans="1:12" ht="15.5" x14ac:dyDescent="0.35">
      <c r="A11" s="157">
        <v>5</v>
      </c>
      <c r="B11" s="125" t="s">
        <v>45</v>
      </c>
      <c r="C11" s="123" t="s">
        <v>191</v>
      </c>
      <c r="D11" s="161"/>
      <c r="E11" s="161"/>
      <c r="F11" s="162" t="s">
        <v>192</v>
      </c>
      <c r="H11" s="140" t="s">
        <v>193</v>
      </c>
      <c r="I11" s="410"/>
      <c r="J11" s="145" t="s">
        <v>207</v>
      </c>
      <c r="K11" s="151" t="s">
        <v>217</v>
      </c>
      <c r="L11" s="403"/>
    </row>
    <row r="12" spans="1:12" ht="58.5" thickBot="1" x14ac:dyDescent="0.4">
      <c r="A12" s="157">
        <v>6</v>
      </c>
      <c r="B12" s="125" t="s">
        <v>47</v>
      </c>
      <c r="C12" s="123" t="s">
        <v>191</v>
      </c>
      <c r="D12" s="163" t="s">
        <v>15</v>
      </c>
      <c r="E12" s="161"/>
      <c r="F12" s="162" t="s">
        <v>192</v>
      </c>
      <c r="H12" s="141" t="s">
        <v>192</v>
      </c>
      <c r="I12" s="411"/>
      <c r="J12" s="146" t="s">
        <v>208</v>
      </c>
      <c r="K12" s="152" t="s">
        <v>219</v>
      </c>
      <c r="L12" s="403"/>
    </row>
    <row r="13" spans="1:12" ht="58" x14ac:dyDescent="0.35">
      <c r="A13" s="157">
        <v>7</v>
      </c>
      <c r="B13" s="125" t="s">
        <v>49</v>
      </c>
      <c r="C13" s="123" t="s">
        <v>191</v>
      </c>
      <c r="D13" s="163" t="s">
        <v>15</v>
      </c>
      <c r="E13" s="161"/>
      <c r="F13" s="164"/>
      <c r="H13" s="139" t="s">
        <v>198</v>
      </c>
      <c r="I13" s="412" t="s">
        <v>202</v>
      </c>
      <c r="J13" s="149" t="s">
        <v>209</v>
      </c>
      <c r="K13" s="150" t="s">
        <v>216</v>
      </c>
      <c r="L13" s="403"/>
    </row>
    <row r="14" spans="1:12" ht="15.5" x14ac:dyDescent="0.35">
      <c r="A14" s="157">
        <v>8</v>
      </c>
      <c r="B14" s="125" t="s">
        <v>50</v>
      </c>
      <c r="C14" s="123" t="s">
        <v>191</v>
      </c>
      <c r="D14" s="161"/>
      <c r="E14" s="161"/>
      <c r="F14" s="162" t="s">
        <v>192</v>
      </c>
      <c r="H14" s="140" t="s">
        <v>193</v>
      </c>
      <c r="I14" s="410"/>
      <c r="J14" s="145" t="s">
        <v>210</v>
      </c>
      <c r="K14" s="151" t="s">
        <v>217</v>
      </c>
      <c r="L14" s="403"/>
    </row>
    <row r="15" spans="1:12" ht="56.5" thickBot="1" x14ac:dyDescent="0.4">
      <c r="A15" s="157">
        <v>9</v>
      </c>
      <c r="B15" s="125" t="s">
        <v>53</v>
      </c>
      <c r="C15" s="123" t="s">
        <v>191</v>
      </c>
      <c r="D15" s="163" t="s">
        <v>15</v>
      </c>
      <c r="E15" s="161"/>
      <c r="F15" s="164"/>
      <c r="H15" s="141" t="s">
        <v>192</v>
      </c>
      <c r="I15" s="411"/>
      <c r="J15" s="146" t="s">
        <v>211</v>
      </c>
      <c r="K15" s="152" t="s">
        <v>219</v>
      </c>
      <c r="L15" s="404"/>
    </row>
    <row r="16" spans="1:12" ht="15.5" x14ac:dyDescent="0.35">
      <c r="A16" s="157">
        <v>10</v>
      </c>
      <c r="B16" s="125" t="s">
        <v>55</v>
      </c>
      <c r="C16" s="123" t="s">
        <v>191</v>
      </c>
      <c r="D16" s="161"/>
      <c r="E16" s="161"/>
      <c r="F16" s="162" t="s">
        <v>192</v>
      </c>
    </row>
    <row r="17" spans="1:6" ht="15.5" x14ac:dyDescent="0.35">
      <c r="A17" s="157">
        <v>11</v>
      </c>
      <c r="B17" s="125" t="s">
        <v>64</v>
      </c>
      <c r="C17" s="123" t="s">
        <v>191</v>
      </c>
      <c r="D17" s="161"/>
      <c r="E17" s="165" t="s">
        <v>193</v>
      </c>
      <c r="F17" s="164"/>
    </row>
    <row r="18" spans="1:6" ht="16" thickBot="1" x14ac:dyDescent="0.4">
      <c r="A18" s="158">
        <v>12</v>
      </c>
      <c r="B18" s="132" t="s">
        <v>67</v>
      </c>
      <c r="C18" s="143" t="s">
        <v>191</v>
      </c>
      <c r="D18" s="166" t="s">
        <v>15</v>
      </c>
      <c r="E18" s="167"/>
      <c r="F18" s="168"/>
    </row>
    <row r="19" spans="1:6" ht="15.5" x14ac:dyDescent="0.35">
      <c r="A19" s="156">
        <v>13</v>
      </c>
      <c r="B19" s="133" t="s">
        <v>77</v>
      </c>
      <c r="C19" s="142" t="s">
        <v>194</v>
      </c>
      <c r="D19" s="169" t="s">
        <v>15</v>
      </c>
      <c r="E19" s="170"/>
      <c r="F19" s="160" t="s">
        <v>192</v>
      </c>
    </row>
    <row r="20" spans="1:6" ht="15.5" x14ac:dyDescent="0.35">
      <c r="A20" s="157">
        <v>14</v>
      </c>
      <c r="B20" s="126" t="s">
        <v>79</v>
      </c>
      <c r="C20" s="123" t="s">
        <v>194</v>
      </c>
      <c r="D20" s="171"/>
      <c r="E20" s="171"/>
      <c r="F20" s="162" t="s">
        <v>192</v>
      </c>
    </row>
    <row r="21" spans="1:6" ht="15.5" x14ac:dyDescent="0.35">
      <c r="A21" s="157">
        <v>15</v>
      </c>
      <c r="B21" s="126" t="s">
        <v>83</v>
      </c>
      <c r="C21" s="123" t="s">
        <v>194</v>
      </c>
      <c r="D21" s="171"/>
      <c r="E21" s="171"/>
      <c r="F21" s="162" t="s">
        <v>192</v>
      </c>
    </row>
    <row r="22" spans="1:6" ht="15.5" x14ac:dyDescent="0.35">
      <c r="A22" s="157">
        <v>16</v>
      </c>
      <c r="B22" s="127" t="s">
        <v>84</v>
      </c>
      <c r="C22" s="123" t="s">
        <v>194</v>
      </c>
      <c r="D22" s="171"/>
      <c r="E22" s="171"/>
      <c r="F22" s="162" t="s">
        <v>192</v>
      </c>
    </row>
    <row r="23" spans="1:6" ht="15.5" x14ac:dyDescent="0.35">
      <c r="A23" s="157">
        <v>17</v>
      </c>
      <c r="B23" s="127" t="s">
        <v>86</v>
      </c>
      <c r="C23" s="123" t="s">
        <v>194</v>
      </c>
      <c r="D23" s="171"/>
      <c r="E23" s="165" t="s">
        <v>193</v>
      </c>
      <c r="F23" s="172"/>
    </row>
    <row r="24" spans="1:6" ht="15.5" x14ac:dyDescent="0.35">
      <c r="A24" s="157">
        <v>18</v>
      </c>
      <c r="B24" s="127" t="s">
        <v>89</v>
      </c>
      <c r="C24" s="123" t="s">
        <v>194</v>
      </c>
      <c r="D24" s="171"/>
      <c r="E24" s="171"/>
      <c r="F24" s="162" t="s">
        <v>192</v>
      </c>
    </row>
    <row r="25" spans="1:6" ht="15.5" x14ac:dyDescent="0.35">
      <c r="A25" s="157">
        <v>19</v>
      </c>
      <c r="B25" s="127" t="s">
        <v>90</v>
      </c>
      <c r="C25" s="123" t="s">
        <v>194</v>
      </c>
      <c r="D25" s="171"/>
      <c r="E25" s="171"/>
      <c r="F25" s="162" t="s">
        <v>192</v>
      </c>
    </row>
    <row r="26" spans="1:6" ht="15.5" x14ac:dyDescent="0.35">
      <c r="A26" s="157">
        <v>20</v>
      </c>
      <c r="B26" s="127" t="s">
        <v>91</v>
      </c>
      <c r="C26" s="123" t="s">
        <v>194</v>
      </c>
      <c r="D26" s="171"/>
      <c r="E26" s="165" t="s">
        <v>193</v>
      </c>
      <c r="F26" s="162" t="s">
        <v>192</v>
      </c>
    </row>
    <row r="27" spans="1:6" ht="15.5" x14ac:dyDescent="0.35">
      <c r="A27" s="157">
        <v>21</v>
      </c>
      <c r="B27" s="127" t="s">
        <v>92</v>
      </c>
      <c r="C27" s="123" t="s">
        <v>194</v>
      </c>
      <c r="D27" s="171"/>
      <c r="E27" s="171"/>
      <c r="F27" s="162" t="s">
        <v>192</v>
      </c>
    </row>
    <row r="28" spans="1:6" ht="15.5" x14ac:dyDescent="0.35">
      <c r="A28" s="157">
        <v>22</v>
      </c>
      <c r="B28" s="128" t="s">
        <v>95</v>
      </c>
      <c r="C28" s="123" t="s">
        <v>195</v>
      </c>
      <c r="D28" s="171"/>
      <c r="E28" s="171"/>
      <c r="F28" s="162" t="s">
        <v>192</v>
      </c>
    </row>
    <row r="29" spans="1:6" ht="15.5" x14ac:dyDescent="0.35">
      <c r="A29" s="157">
        <v>23</v>
      </c>
      <c r="B29" s="128" t="s">
        <v>97</v>
      </c>
      <c r="C29" s="123" t="s">
        <v>195</v>
      </c>
      <c r="D29" s="163" t="s">
        <v>15</v>
      </c>
      <c r="E29" s="171"/>
      <c r="F29" s="162" t="s">
        <v>192</v>
      </c>
    </row>
    <row r="30" spans="1:6" ht="15.5" x14ac:dyDescent="0.35">
      <c r="A30" s="157">
        <v>24</v>
      </c>
      <c r="B30" s="128" t="s">
        <v>99</v>
      </c>
      <c r="C30" s="123" t="s">
        <v>195</v>
      </c>
      <c r="D30" s="163" t="s">
        <v>15</v>
      </c>
      <c r="E30" s="171"/>
      <c r="F30" s="172"/>
    </row>
    <row r="31" spans="1:6" ht="15.5" x14ac:dyDescent="0.35">
      <c r="A31" s="157">
        <v>25</v>
      </c>
      <c r="B31" s="128" t="s">
        <v>103</v>
      </c>
      <c r="C31" s="123" t="s">
        <v>195</v>
      </c>
      <c r="D31" s="171"/>
      <c r="E31" s="171"/>
      <c r="F31" s="162" t="s">
        <v>192</v>
      </c>
    </row>
    <row r="32" spans="1:6" ht="15.5" x14ac:dyDescent="0.35">
      <c r="A32" s="157">
        <v>26</v>
      </c>
      <c r="B32" s="128" t="s">
        <v>107</v>
      </c>
      <c r="C32" s="123" t="s">
        <v>195</v>
      </c>
      <c r="D32" s="171"/>
      <c r="E32" s="171"/>
      <c r="F32" s="162" t="s">
        <v>192</v>
      </c>
    </row>
    <row r="33" spans="1:6" ht="15.5" x14ac:dyDescent="0.35">
      <c r="A33" s="157">
        <v>27</v>
      </c>
      <c r="B33" s="128" t="s">
        <v>108</v>
      </c>
      <c r="C33" s="123" t="s">
        <v>195</v>
      </c>
      <c r="D33" s="171"/>
      <c r="E33" s="171"/>
      <c r="F33" s="162" t="s">
        <v>192</v>
      </c>
    </row>
    <row r="34" spans="1:6" ht="15.5" x14ac:dyDescent="0.35">
      <c r="A34" s="157">
        <v>28</v>
      </c>
      <c r="B34" s="128" t="s">
        <v>109</v>
      </c>
      <c r="C34" s="123" t="s">
        <v>195</v>
      </c>
      <c r="D34" s="171"/>
      <c r="E34" s="171"/>
      <c r="F34" s="162" t="s">
        <v>192</v>
      </c>
    </row>
    <row r="35" spans="1:6" ht="15.5" x14ac:dyDescent="0.35">
      <c r="A35" s="157">
        <v>29</v>
      </c>
      <c r="B35" s="128" t="s">
        <v>110</v>
      </c>
      <c r="C35" s="123" t="s">
        <v>195</v>
      </c>
      <c r="D35" s="163" t="s">
        <v>15</v>
      </c>
      <c r="E35" s="171"/>
      <c r="F35" s="172"/>
    </row>
    <row r="36" spans="1:6" ht="15.5" x14ac:dyDescent="0.35">
      <c r="A36" s="157">
        <v>30</v>
      </c>
      <c r="B36" s="128" t="s">
        <v>111</v>
      </c>
      <c r="C36" s="123" t="s">
        <v>195</v>
      </c>
      <c r="D36" s="171"/>
      <c r="E36" s="171"/>
      <c r="F36" s="172"/>
    </row>
    <row r="37" spans="1:6" ht="15.5" x14ac:dyDescent="0.35">
      <c r="A37" s="157">
        <v>31</v>
      </c>
      <c r="B37" s="128" t="s">
        <v>114</v>
      </c>
      <c r="C37" s="123" t="s">
        <v>195</v>
      </c>
      <c r="D37" s="171"/>
      <c r="E37" s="171"/>
      <c r="F37" s="172"/>
    </row>
    <row r="38" spans="1:6" ht="15.5" x14ac:dyDescent="0.35">
      <c r="A38" s="157">
        <v>32</v>
      </c>
      <c r="B38" s="128" t="s">
        <v>119</v>
      </c>
      <c r="C38" s="123" t="s">
        <v>195</v>
      </c>
      <c r="D38" s="163" t="s">
        <v>15</v>
      </c>
      <c r="E38" s="171"/>
      <c r="F38" s="172"/>
    </row>
    <row r="39" spans="1:6" ht="16" thickBot="1" x14ac:dyDescent="0.4">
      <c r="A39" s="158">
        <v>33</v>
      </c>
      <c r="B39" s="134" t="s">
        <v>120</v>
      </c>
      <c r="C39" s="143" t="s">
        <v>195</v>
      </c>
      <c r="D39" s="173"/>
      <c r="E39" s="173"/>
      <c r="F39" s="174" t="s">
        <v>192</v>
      </c>
    </row>
    <row r="40" spans="1:6" ht="15.5" x14ac:dyDescent="0.35">
      <c r="A40" s="156">
        <v>34</v>
      </c>
      <c r="B40" s="135" t="s">
        <v>128</v>
      </c>
      <c r="C40" s="142" t="s">
        <v>196</v>
      </c>
      <c r="D40" s="170"/>
      <c r="E40" s="170"/>
      <c r="F40" s="175"/>
    </row>
    <row r="41" spans="1:6" ht="15.5" x14ac:dyDescent="0.35">
      <c r="A41" s="157">
        <v>35</v>
      </c>
      <c r="B41" s="129" t="s">
        <v>137</v>
      </c>
      <c r="C41" s="123" t="s">
        <v>196</v>
      </c>
      <c r="D41" s="163" t="s">
        <v>15</v>
      </c>
      <c r="E41" s="165" t="s">
        <v>193</v>
      </c>
      <c r="F41" s="172"/>
    </row>
    <row r="42" spans="1:6" ht="15.5" x14ac:dyDescent="0.35">
      <c r="A42" s="157">
        <v>36</v>
      </c>
      <c r="B42" s="129" t="s">
        <v>138</v>
      </c>
      <c r="C42" s="123" t="s">
        <v>196</v>
      </c>
      <c r="D42" s="163" t="s">
        <v>15</v>
      </c>
      <c r="E42" s="171"/>
      <c r="F42" s="172"/>
    </row>
    <row r="43" spans="1:6" ht="15.5" x14ac:dyDescent="0.35">
      <c r="A43" s="157">
        <v>37</v>
      </c>
      <c r="B43" s="129" t="s">
        <v>146</v>
      </c>
      <c r="C43" s="123" t="s">
        <v>197</v>
      </c>
      <c r="D43" s="171"/>
      <c r="E43" s="171"/>
      <c r="F43" s="162" t="s">
        <v>192</v>
      </c>
    </row>
    <row r="44" spans="1:6" ht="15.5" x14ac:dyDescent="0.35">
      <c r="A44" s="157">
        <v>38</v>
      </c>
      <c r="B44" s="129" t="s">
        <v>148</v>
      </c>
      <c r="C44" s="123" t="s">
        <v>197</v>
      </c>
      <c r="D44" s="163" t="s">
        <v>15</v>
      </c>
      <c r="E44" s="171"/>
      <c r="F44" s="162" t="s">
        <v>192</v>
      </c>
    </row>
    <row r="45" spans="1:6" ht="15.5" x14ac:dyDescent="0.35">
      <c r="A45" s="157">
        <v>39</v>
      </c>
      <c r="B45" s="129" t="s">
        <v>154</v>
      </c>
      <c r="C45" s="123" t="s">
        <v>197</v>
      </c>
      <c r="D45" s="171"/>
      <c r="E45" s="165" t="s">
        <v>193</v>
      </c>
      <c r="F45" s="172"/>
    </row>
    <row r="46" spans="1:6" ht="15.5" x14ac:dyDescent="0.35">
      <c r="A46" s="157">
        <v>40</v>
      </c>
      <c r="B46" s="129" t="s">
        <v>155</v>
      </c>
      <c r="C46" s="123" t="s">
        <v>197</v>
      </c>
      <c r="D46" s="171"/>
      <c r="E46" s="165" t="s">
        <v>193</v>
      </c>
      <c r="F46" s="172"/>
    </row>
    <row r="47" spans="1:6" ht="15.5" x14ac:dyDescent="0.35">
      <c r="A47" s="157">
        <v>41</v>
      </c>
      <c r="B47" s="130" t="s">
        <v>156</v>
      </c>
      <c r="C47" s="123" t="s">
        <v>197</v>
      </c>
      <c r="D47" s="171"/>
      <c r="E47" s="171"/>
      <c r="F47" s="162" t="s">
        <v>192</v>
      </c>
    </row>
    <row r="48" spans="1:6" ht="16" thickBot="1" x14ac:dyDescent="0.4">
      <c r="A48" s="158">
        <v>42</v>
      </c>
      <c r="B48" s="136" t="s">
        <v>164</v>
      </c>
      <c r="C48" s="143" t="s">
        <v>197</v>
      </c>
      <c r="D48" s="166" t="s">
        <v>15</v>
      </c>
      <c r="E48" s="173"/>
      <c r="F48" s="174" t="s">
        <v>192</v>
      </c>
    </row>
  </sheetData>
  <mergeCells count="8">
    <mergeCell ref="A1:L2"/>
    <mergeCell ref="A4:L4"/>
    <mergeCell ref="L7:L15"/>
    <mergeCell ref="D6:F6"/>
    <mergeCell ref="H6:J6"/>
    <mergeCell ref="I7:I9"/>
    <mergeCell ref="I10:I12"/>
    <mergeCell ref="I13:I15"/>
  </mergeCells>
  <conditionalFormatting sqref="B19:B26 B48 B28:B46">
    <cfRule type="expression" dxfId="0" priority="16">
      <formula>COUNTIF(B:B,B19)&gt;1</formula>
    </cfRule>
  </conditionalFormatting>
  <hyperlinks>
    <hyperlink ref="J8" r:id="rId1"/>
    <hyperlink ref="J9" r:id="rId2"/>
    <hyperlink ref="J7" r:id="rId3"/>
    <hyperlink ref="J10" r:id="rId4"/>
    <hyperlink ref="J11" r:id="rId5"/>
    <hyperlink ref="J12" r:id="rId6"/>
    <hyperlink ref="J13" r:id="rId7"/>
    <hyperlink ref="J14" r:id="rId8"/>
    <hyperlink ref="J15" r:id="rId9"/>
    <hyperlink ref="L7" r:id="rId10"/>
  </hyperlinks>
  <pageMargins left="0.7" right="0.7" top="0.75" bottom="0.75" header="0.3" footer="0.3"/>
  <pageSetup orientation="portrait" horizontalDpi="0" verticalDpi="0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K98"/>
  <sheetViews>
    <sheetView workbookViewId="0">
      <pane xSplit="1" topLeftCell="B1" activePane="topRight" state="frozen"/>
      <selection pane="topRight" activeCell="F7" sqref="F7"/>
    </sheetView>
  </sheetViews>
  <sheetFormatPr defaultRowHeight="14.5" x14ac:dyDescent="0.35"/>
  <cols>
    <col min="1" max="1" width="5.7265625" style="212" bestFit="1" customWidth="1"/>
    <col min="2" max="2" width="12.81640625" bestFit="1" customWidth="1"/>
    <col min="3" max="3" width="34.54296875" bestFit="1" customWidth="1"/>
    <col min="4" max="4" width="11.453125" style="291" bestFit="1" customWidth="1"/>
    <col min="5" max="8" width="6.7265625" style="212" customWidth="1"/>
    <col min="9" max="9" width="7.7265625" bestFit="1" customWidth="1"/>
    <col min="10" max="12" width="6.7265625" customWidth="1"/>
    <col min="13" max="13" width="7.7265625" bestFit="1" customWidth="1"/>
    <col min="14" max="15" width="6.7265625" customWidth="1"/>
    <col min="16" max="16" width="8" bestFit="1" customWidth="1"/>
    <col min="17" max="18" width="6.7265625" customWidth="1"/>
    <col min="19" max="19" width="7.7265625" bestFit="1" customWidth="1"/>
    <col min="20" max="20" width="12.81640625" style="212" bestFit="1" customWidth="1"/>
    <col min="22" max="25" width="6.7265625" style="291" customWidth="1"/>
    <col min="26" max="26" width="7.7265625" bestFit="1" customWidth="1"/>
    <col min="27" max="29" width="6.7265625" customWidth="1"/>
    <col min="30" max="30" width="7.7265625" bestFit="1" customWidth="1"/>
    <col min="31" max="32" width="6.7265625" customWidth="1"/>
    <col min="33" max="33" width="8" bestFit="1" customWidth="1"/>
    <col min="34" max="35" width="6.7265625" customWidth="1"/>
    <col min="36" max="36" width="7.7265625" bestFit="1" customWidth="1"/>
    <col min="37" max="37" width="12.81640625" style="291" bestFit="1" customWidth="1"/>
  </cols>
  <sheetData>
    <row r="1" spans="1:37" s="219" customFormat="1" ht="18.5" x14ac:dyDescent="0.45">
      <c r="A1" s="417" t="s">
        <v>1</v>
      </c>
      <c r="B1" s="419" t="s">
        <v>2</v>
      </c>
      <c r="C1" s="419" t="s">
        <v>3</v>
      </c>
      <c r="D1" s="421" t="s">
        <v>36</v>
      </c>
      <c r="E1" s="423" t="s">
        <v>234</v>
      </c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5"/>
      <c r="V1" s="423" t="s">
        <v>234</v>
      </c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5"/>
    </row>
    <row r="2" spans="1:37" s="219" customFormat="1" ht="18.75" customHeight="1" x14ac:dyDescent="0.45">
      <c r="A2" s="418"/>
      <c r="B2" s="420"/>
      <c r="C2" s="420"/>
      <c r="D2" s="422"/>
      <c r="E2" s="426" t="s">
        <v>286</v>
      </c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8"/>
      <c r="V2" s="426" t="s">
        <v>254</v>
      </c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8"/>
    </row>
    <row r="3" spans="1:37" s="219" customFormat="1" ht="19" thickBot="1" x14ac:dyDescent="0.5">
      <c r="A3" s="418"/>
      <c r="B3" s="420"/>
      <c r="C3" s="420"/>
      <c r="D3" s="422"/>
      <c r="E3" s="429" t="s">
        <v>287</v>
      </c>
      <c r="F3" s="430"/>
      <c r="G3" s="430"/>
      <c r="H3" s="430"/>
      <c r="I3" s="430"/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1"/>
      <c r="V3" s="429" t="s">
        <v>287</v>
      </c>
      <c r="W3" s="430"/>
      <c r="X3" s="430"/>
      <c r="Y3" s="430"/>
      <c r="Z3" s="430"/>
      <c r="AA3" s="430"/>
      <c r="AB3" s="430"/>
      <c r="AC3" s="430"/>
      <c r="AD3" s="430"/>
      <c r="AE3" s="430"/>
      <c r="AF3" s="430"/>
      <c r="AG3" s="430"/>
      <c r="AH3" s="430"/>
      <c r="AI3" s="430"/>
      <c r="AJ3" s="430"/>
      <c r="AK3" s="431"/>
    </row>
    <row r="4" spans="1:37" s="220" customFormat="1" ht="18" x14ac:dyDescent="0.4">
      <c r="A4" s="418"/>
      <c r="B4" s="420"/>
      <c r="C4" s="420"/>
      <c r="D4" s="422"/>
      <c r="E4" s="433" t="s">
        <v>237</v>
      </c>
      <c r="F4" s="434"/>
      <c r="G4" s="414" t="s">
        <v>235</v>
      </c>
      <c r="H4" s="415"/>
      <c r="I4" s="416"/>
      <c r="J4" s="414" t="s">
        <v>16</v>
      </c>
      <c r="K4" s="432"/>
      <c r="L4" s="415"/>
      <c r="M4" s="416"/>
      <c r="N4" s="414" t="s">
        <v>15</v>
      </c>
      <c r="O4" s="415"/>
      <c r="P4" s="416"/>
      <c r="Q4" s="414" t="s">
        <v>19</v>
      </c>
      <c r="R4" s="415"/>
      <c r="S4" s="416"/>
      <c r="T4" s="285" t="s">
        <v>236</v>
      </c>
      <c r="V4" s="433" t="s">
        <v>237</v>
      </c>
      <c r="W4" s="434"/>
      <c r="X4" s="414" t="s">
        <v>235</v>
      </c>
      <c r="Y4" s="415"/>
      <c r="Z4" s="416"/>
      <c r="AA4" s="414" t="s">
        <v>16</v>
      </c>
      <c r="AB4" s="432"/>
      <c r="AC4" s="415"/>
      <c r="AD4" s="416"/>
      <c r="AE4" s="414" t="s">
        <v>15</v>
      </c>
      <c r="AF4" s="415"/>
      <c r="AG4" s="416"/>
      <c r="AH4" s="414" t="s">
        <v>19</v>
      </c>
      <c r="AI4" s="415"/>
      <c r="AJ4" s="416"/>
      <c r="AK4" s="285" t="s">
        <v>236</v>
      </c>
    </row>
    <row r="5" spans="1:37" ht="18" thickBot="1" x14ac:dyDescent="0.4">
      <c r="A5" s="209">
        <v>1</v>
      </c>
      <c r="B5" s="210">
        <v>2</v>
      </c>
      <c r="C5" s="210">
        <v>3</v>
      </c>
      <c r="D5" s="241">
        <v>4</v>
      </c>
      <c r="E5" s="270"/>
      <c r="F5" s="271">
        <v>11</v>
      </c>
      <c r="G5" s="270"/>
      <c r="H5" s="272"/>
      <c r="I5" s="271">
        <v>12</v>
      </c>
      <c r="J5" s="270"/>
      <c r="K5" s="302"/>
      <c r="L5" s="272"/>
      <c r="M5" s="271">
        <v>13</v>
      </c>
      <c r="N5" s="270" t="s">
        <v>240</v>
      </c>
      <c r="O5" s="272" t="s">
        <v>241</v>
      </c>
      <c r="P5" s="271">
        <v>14</v>
      </c>
      <c r="Q5" s="270" t="s">
        <v>240</v>
      </c>
      <c r="R5" s="272" t="s">
        <v>241</v>
      </c>
      <c r="S5" s="271">
        <v>15</v>
      </c>
      <c r="T5" s="273">
        <v>16</v>
      </c>
      <c r="V5" s="270"/>
      <c r="W5" s="271">
        <v>11</v>
      </c>
      <c r="X5" s="270"/>
      <c r="Y5" s="272"/>
      <c r="Z5" s="271">
        <v>12</v>
      </c>
      <c r="AA5" s="270"/>
      <c r="AB5" s="302"/>
      <c r="AC5" s="272"/>
      <c r="AD5" s="271">
        <v>13</v>
      </c>
      <c r="AE5" s="270" t="s">
        <v>240</v>
      </c>
      <c r="AF5" s="272" t="s">
        <v>241</v>
      </c>
      <c r="AG5" s="271">
        <v>14</v>
      </c>
      <c r="AH5" s="270" t="s">
        <v>240</v>
      </c>
      <c r="AI5" s="272" t="s">
        <v>241</v>
      </c>
      <c r="AJ5" s="271">
        <v>15</v>
      </c>
      <c r="AK5" s="273">
        <v>16</v>
      </c>
    </row>
    <row r="6" spans="1:37" x14ac:dyDescent="0.35">
      <c r="A6" s="246">
        <f>D.SISWA!A6</f>
        <v>1</v>
      </c>
      <c r="B6" s="214">
        <f>D.SISWA!B99</f>
        <v>0</v>
      </c>
      <c r="C6" s="214" t="str">
        <f>D.SISWA!C99</f>
        <v>ALDIANSAH</v>
      </c>
      <c r="D6" s="217" t="str">
        <f>D.SISWA!D99</f>
        <v>X ACP</v>
      </c>
      <c r="E6" s="263">
        <v>1</v>
      </c>
      <c r="F6" s="264" t="str">
        <f>IF(E6&gt;=30,"87",IF(E6&gt;=25,"84",IF(E6&gt;=20,"81",IF(E6&gt;=15,"78","60"))))</f>
        <v>60</v>
      </c>
      <c r="G6" s="263">
        <v>0</v>
      </c>
      <c r="H6" s="265">
        <v>0</v>
      </c>
      <c r="I6" s="266">
        <f>AVERAGE(G6:H6)</f>
        <v>0</v>
      </c>
      <c r="J6" s="267">
        <v>0</v>
      </c>
      <c r="K6" s="303">
        <v>0</v>
      </c>
      <c r="L6" s="268">
        <v>0</v>
      </c>
      <c r="M6" s="266">
        <f>AVERAGE(J6:L6)</f>
        <v>0</v>
      </c>
      <c r="N6" s="267">
        <v>0</v>
      </c>
      <c r="O6" s="268">
        <v>0</v>
      </c>
      <c r="P6" s="266">
        <f>AVERAGE(N6:O6)</f>
        <v>0</v>
      </c>
      <c r="Q6" s="267">
        <v>0</v>
      </c>
      <c r="R6" s="268">
        <v>0</v>
      </c>
      <c r="S6" s="266">
        <f>AVERAGE(Q6:R6)</f>
        <v>0</v>
      </c>
      <c r="T6" s="269">
        <f>(0.4*F6)+(0.1*I6)+(0.4*M6)+(0.05*P6)+(0.05*S6)</f>
        <v>24</v>
      </c>
      <c r="V6" s="263">
        <v>1</v>
      </c>
      <c r="W6" s="264" t="str">
        <f>IF(V6&gt;=30,"87",IF(V6&gt;=25,"84",IF(V6&gt;=20,"81",IF(V6&gt;=15,"78","60"))))</f>
        <v>60</v>
      </c>
      <c r="X6" s="263">
        <v>0</v>
      </c>
      <c r="Y6" s="265">
        <v>0</v>
      </c>
      <c r="Z6" s="266">
        <f>AVERAGE(X6:Y6)</f>
        <v>0</v>
      </c>
      <c r="AA6" s="267">
        <v>0</v>
      </c>
      <c r="AB6" s="303">
        <v>0</v>
      </c>
      <c r="AC6" s="268">
        <v>0</v>
      </c>
      <c r="AD6" s="266">
        <f>AVERAGE(AA6:AC6)</f>
        <v>0</v>
      </c>
      <c r="AE6" s="267">
        <v>0</v>
      </c>
      <c r="AF6" s="268">
        <v>0</v>
      </c>
      <c r="AG6" s="266">
        <f>AVERAGE(AE6:AF6)</f>
        <v>0</v>
      </c>
      <c r="AH6" s="267">
        <v>0</v>
      </c>
      <c r="AI6" s="268">
        <v>0</v>
      </c>
      <c r="AJ6" s="266">
        <f>AVERAGE(AH6:AI6)</f>
        <v>0</v>
      </c>
      <c r="AK6" s="269">
        <f>(0.4*W6)+(0.1*Z6)+(0.4*AD6)+(0.05*AG6)+(0.05*AJ6)</f>
        <v>24</v>
      </c>
    </row>
    <row r="7" spans="1:37" x14ac:dyDescent="0.35">
      <c r="A7" s="246">
        <f>D.SISWA!A7</f>
        <v>2</v>
      </c>
      <c r="B7" s="214">
        <f>D.SISWA!B100</f>
        <v>0</v>
      </c>
      <c r="C7" s="214" t="str">
        <f>D.SISWA!C100</f>
        <v>ALIEF SANJANI</v>
      </c>
      <c r="D7" s="217" t="str">
        <f>D.SISWA!D100</f>
        <v>X ACP</v>
      </c>
      <c r="E7" s="246">
        <v>1</v>
      </c>
      <c r="F7" s="247" t="str">
        <f t="shared" ref="F7:F53" si="0">IF(E7&gt;=30,"87",IF(E7&gt;=25,"84",IF(E7&gt;=20,"81",IF(E7&gt;=15,"78","60"))))</f>
        <v>60</v>
      </c>
      <c r="G7" s="246"/>
      <c r="H7" s="217"/>
      <c r="I7" s="223" t="e">
        <f t="shared" ref="I7:I53" si="1">AVERAGE(G7:H7)</f>
        <v>#DIV/0!</v>
      </c>
      <c r="J7" s="254"/>
      <c r="K7" s="304"/>
      <c r="L7" s="179"/>
      <c r="M7" s="223" t="e">
        <f t="shared" ref="M7:M53" si="2">AVERAGE(J7:L7)</f>
        <v>#DIV/0!</v>
      </c>
      <c r="N7" s="254"/>
      <c r="O7" s="179"/>
      <c r="P7" s="223" t="e">
        <f t="shared" ref="P7:P53" si="3">AVERAGE(N7:O7)</f>
        <v>#DIV/0!</v>
      </c>
      <c r="Q7" s="254"/>
      <c r="R7" s="179"/>
      <c r="S7" s="223" t="e">
        <f t="shared" ref="S7:S24" si="4">AVERAGE(Q7:R7)</f>
        <v>#DIV/0!</v>
      </c>
      <c r="T7" s="269" t="e">
        <f t="shared" ref="T7:T53" si="5">(0.4*F7)+(0.1*I7)+(0.4*M7)+(0.05*P7)+(0.05*S7)</f>
        <v>#DIV/0!</v>
      </c>
      <c r="V7" s="263">
        <v>1</v>
      </c>
      <c r="W7" s="247" t="str">
        <f t="shared" ref="W7:W53" si="6">IF(V7&gt;=30,"87",IF(V7&gt;=25,"84",IF(V7&gt;=20,"81",IF(V7&gt;=15,"78","60"))))</f>
        <v>60</v>
      </c>
      <c r="X7" s="246"/>
      <c r="Y7" s="217"/>
      <c r="Z7" s="223" t="e">
        <f t="shared" ref="Z7:Z53" si="7">AVERAGE(X7:Y7)</f>
        <v>#DIV/0!</v>
      </c>
      <c r="AA7" s="254"/>
      <c r="AB7" s="304"/>
      <c r="AC7" s="179"/>
      <c r="AD7" s="223" t="e">
        <f t="shared" ref="AD7:AD53" si="8">AVERAGE(AA7:AC7)</f>
        <v>#DIV/0!</v>
      </c>
      <c r="AE7" s="254"/>
      <c r="AF7" s="179"/>
      <c r="AG7" s="223" t="e">
        <f t="shared" ref="AG7:AG53" si="9">AVERAGE(AE7:AF7)</f>
        <v>#DIV/0!</v>
      </c>
      <c r="AH7" s="254"/>
      <c r="AI7" s="179"/>
      <c r="AJ7" s="223" t="e">
        <f t="shared" ref="AJ7:AJ53" si="10">AVERAGE(AH7:AI7)</f>
        <v>#DIV/0!</v>
      </c>
      <c r="AK7" s="269" t="e">
        <f t="shared" ref="AK7:AK53" si="11">(0.4*W7)+(0.1*Z7)+(0.4*AD7)+(0.05*AG7)+(0.05*AJ7)</f>
        <v>#DIV/0!</v>
      </c>
    </row>
    <row r="8" spans="1:37" x14ac:dyDescent="0.35">
      <c r="A8" s="246">
        <f>D.SISWA!A8</f>
        <v>3</v>
      </c>
      <c r="B8" s="214">
        <f>D.SISWA!B101</f>
        <v>0</v>
      </c>
      <c r="C8" s="214" t="str">
        <f>D.SISWA!C101</f>
        <v xml:space="preserve">CANZA YUDIA MULYA </v>
      </c>
      <c r="D8" s="217" t="str">
        <f>D.SISWA!D101</f>
        <v>X ACP</v>
      </c>
      <c r="E8" s="246">
        <v>0</v>
      </c>
      <c r="F8" s="247" t="str">
        <f t="shared" si="0"/>
        <v>60</v>
      </c>
      <c r="G8" s="246"/>
      <c r="H8" s="217"/>
      <c r="I8" s="223" t="e">
        <f t="shared" si="1"/>
        <v>#DIV/0!</v>
      </c>
      <c r="J8" s="254"/>
      <c r="K8" s="304"/>
      <c r="L8" s="179"/>
      <c r="M8" s="223" t="e">
        <f t="shared" si="2"/>
        <v>#DIV/0!</v>
      </c>
      <c r="N8" s="254"/>
      <c r="O8" s="179"/>
      <c r="P8" s="223" t="e">
        <f t="shared" si="3"/>
        <v>#DIV/0!</v>
      </c>
      <c r="Q8" s="254"/>
      <c r="R8" s="179"/>
      <c r="S8" s="223" t="e">
        <f t="shared" si="4"/>
        <v>#DIV/0!</v>
      </c>
      <c r="T8" s="269" t="e">
        <f t="shared" si="5"/>
        <v>#DIV/0!</v>
      </c>
      <c r="V8" s="263">
        <v>1</v>
      </c>
      <c r="W8" s="247" t="str">
        <f t="shared" si="6"/>
        <v>60</v>
      </c>
      <c r="X8" s="246"/>
      <c r="Y8" s="217"/>
      <c r="Z8" s="223" t="e">
        <f t="shared" si="7"/>
        <v>#DIV/0!</v>
      </c>
      <c r="AA8" s="254"/>
      <c r="AB8" s="304"/>
      <c r="AC8" s="179"/>
      <c r="AD8" s="223" t="e">
        <f t="shared" si="8"/>
        <v>#DIV/0!</v>
      </c>
      <c r="AE8" s="254"/>
      <c r="AF8" s="179"/>
      <c r="AG8" s="223" t="e">
        <f t="shared" si="9"/>
        <v>#DIV/0!</v>
      </c>
      <c r="AH8" s="254"/>
      <c r="AI8" s="179"/>
      <c r="AJ8" s="223" t="e">
        <f t="shared" si="10"/>
        <v>#DIV/0!</v>
      </c>
      <c r="AK8" s="269" t="e">
        <f t="shared" si="11"/>
        <v>#DIV/0!</v>
      </c>
    </row>
    <row r="9" spans="1:37" x14ac:dyDescent="0.35">
      <c r="A9" s="246">
        <f>D.SISWA!A9</f>
        <v>4</v>
      </c>
      <c r="B9" s="214">
        <f>D.SISWA!B102</f>
        <v>0</v>
      </c>
      <c r="C9" s="214" t="str">
        <f>D.SISWA!C102</f>
        <v>DEFIN PRASETYA</v>
      </c>
      <c r="D9" s="217" t="str">
        <f>D.SISWA!D102</f>
        <v>X ACP</v>
      </c>
      <c r="E9" s="246">
        <v>0</v>
      </c>
      <c r="F9" s="247" t="str">
        <f t="shared" si="0"/>
        <v>60</v>
      </c>
      <c r="G9" s="246"/>
      <c r="H9" s="217"/>
      <c r="I9" s="223" t="e">
        <f t="shared" si="1"/>
        <v>#DIV/0!</v>
      </c>
      <c r="J9" s="254"/>
      <c r="K9" s="304"/>
      <c r="L9" s="179"/>
      <c r="M9" s="223" t="e">
        <f t="shared" si="2"/>
        <v>#DIV/0!</v>
      </c>
      <c r="N9" s="254"/>
      <c r="O9" s="179"/>
      <c r="P9" s="223" t="e">
        <f t="shared" si="3"/>
        <v>#DIV/0!</v>
      </c>
      <c r="Q9" s="254"/>
      <c r="R9" s="179"/>
      <c r="S9" s="223" t="e">
        <f t="shared" si="4"/>
        <v>#DIV/0!</v>
      </c>
      <c r="T9" s="269" t="e">
        <f t="shared" si="5"/>
        <v>#DIV/0!</v>
      </c>
      <c r="V9" s="263">
        <v>1</v>
      </c>
      <c r="W9" s="247" t="str">
        <f t="shared" si="6"/>
        <v>60</v>
      </c>
      <c r="X9" s="246"/>
      <c r="Y9" s="217"/>
      <c r="Z9" s="223" t="e">
        <f t="shared" si="7"/>
        <v>#DIV/0!</v>
      </c>
      <c r="AA9" s="254"/>
      <c r="AB9" s="304"/>
      <c r="AC9" s="179"/>
      <c r="AD9" s="223" t="e">
        <f t="shared" si="8"/>
        <v>#DIV/0!</v>
      </c>
      <c r="AE9" s="254"/>
      <c r="AF9" s="179"/>
      <c r="AG9" s="223" t="e">
        <f t="shared" si="9"/>
        <v>#DIV/0!</v>
      </c>
      <c r="AH9" s="254"/>
      <c r="AI9" s="179"/>
      <c r="AJ9" s="223" t="e">
        <f t="shared" si="10"/>
        <v>#DIV/0!</v>
      </c>
      <c r="AK9" s="269" t="e">
        <f t="shared" si="11"/>
        <v>#DIV/0!</v>
      </c>
    </row>
    <row r="10" spans="1:37" x14ac:dyDescent="0.35">
      <c r="A10" s="246">
        <f>D.SISWA!A10</f>
        <v>5</v>
      </c>
      <c r="B10" s="214">
        <f>D.SISWA!B103</f>
        <v>0</v>
      </c>
      <c r="C10" s="214" t="str">
        <f>D.SISWA!C103</f>
        <v>FIKRI FAHRIANSAH</v>
      </c>
      <c r="D10" s="217" t="str">
        <f>D.SISWA!D103</f>
        <v>X ACP</v>
      </c>
      <c r="E10" s="246">
        <v>1</v>
      </c>
      <c r="F10" s="247" t="str">
        <f t="shared" si="0"/>
        <v>60</v>
      </c>
      <c r="G10" s="246"/>
      <c r="H10" s="217"/>
      <c r="I10" s="223" t="e">
        <f t="shared" si="1"/>
        <v>#DIV/0!</v>
      </c>
      <c r="J10" s="254"/>
      <c r="K10" s="304"/>
      <c r="L10" s="179"/>
      <c r="M10" s="223" t="e">
        <f t="shared" si="2"/>
        <v>#DIV/0!</v>
      </c>
      <c r="N10" s="254"/>
      <c r="O10" s="179"/>
      <c r="P10" s="223" t="e">
        <f t="shared" si="3"/>
        <v>#DIV/0!</v>
      </c>
      <c r="Q10" s="254"/>
      <c r="R10" s="179"/>
      <c r="S10" s="223" t="e">
        <f t="shared" si="4"/>
        <v>#DIV/0!</v>
      </c>
      <c r="T10" s="269" t="e">
        <f t="shared" si="5"/>
        <v>#DIV/0!</v>
      </c>
      <c r="V10" s="263">
        <v>1</v>
      </c>
      <c r="W10" s="247" t="str">
        <f t="shared" si="6"/>
        <v>60</v>
      </c>
      <c r="X10" s="246"/>
      <c r="Y10" s="217"/>
      <c r="Z10" s="223" t="e">
        <f t="shared" si="7"/>
        <v>#DIV/0!</v>
      </c>
      <c r="AA10" s="254"/>
      <c r="AB10" s="304"/>
      <c r="AC10" s="179"/>
      <c r="AD10" s="223" t="e">
        <f t="shared" si="8"/>
        <v>#DIV/0!</v>
      </c>
      <c r="AE10" s="254"/>
      <c r="AF10" s="179"/>
      <c r="AG10" s="223" t="e">
        <f t="shared" si="9"/>
        <v>#DIV/0!</v>
      </c>
      <c r="AH10" s="254"/>
      <c r="AI10" s="179"/>
      <c r="AJ10" s="223" t="e">
        <f t="shared" si="10"/>
        <v>#DIV/0!</v>
      </c>
      <c r="AK10" s="269" t="e">
        <f t="shared" si="11"/>
        <v>#DIV/0!</v>
      </c>
    </row>
    <row r="11" spans="1:37" x14ac:dyDescent="0.35">
      <c r="A11" s="246">
        <f>D.SISWA!A11</f>
        <v>6</v>
      </c>
      <c r="B11" s="214">
        <f>D.SISWA!B104</f>
        <v>0</v>
      </c>
      <c r="C11" s="214" t="str">
        <f>D.SISWA!C104</f>
        <v>JISVI DWI ANDREANS</v>
      </c>
      <c r="D11" s="217" t="str">
        <f>D.SISWA!D104</f>
        <v>X ACP</v>
      </c>
      <c r="E11" s="246">
        <v>0</v>
      </c>
      <c r="F11" s="247" t="str">
        <f t="shared" si="0"/>
        <v>60</v>
      </c>
      <c r="G11" s="246"/>
      <c r="H11" s="217"/>
      <c r="I11" s="223" t="e">
        <f t="shared" si="1"/>
        <v>#DIV/0!</v>
      </c>
      <c r="J11" s="254"/>
      <c r="K11" s="304"/>
      <c r="L11" s="179"/>
      <c r="M11" s="223" t="e">
        <f t="shared" si="2"/>
        <v>#DIV/0!</v>
      </c>
      <c r="N11" s="254"/>
      <c r="O11" s="179"/>
      <c r="P11" s="223" t="e">
        <f t="shared" si="3"/>
        <v>#DIV/0!</v>
      </c>
      <c r="Q11" s="254"/>
      <c r="R11" s="179"/>
      <c r="S11" s="223" t="e">
        <f t="shared" si="4"/>
        <v>#DIV/0!</v>
      </c>
      <c r="T11" s="269" t="e">
        <f t="shared" si="5"/>
        <v>#DIV/0!</v>
      </c>
      <c r="V11" s="263">
        <v>1</v>
      </c>
      <c r="W11" s="247" t="str">
        <f t="shared" si="6"/>
        <v>60</v>
      </c>
      <c r="X11" s="246"/>
      <c r="Y11" s="217"/>
      <c r="Z11" s="223" t="e">
        <f t="shared" si="7"/>
        <v>#DIV/0!</v>
      </c>
      <c r="AA11" s="254"/>
      <c r="AB11" s="304"/>
      <c r="AC11" s="179"/>
      <c r="AD11" s="223" t="e">
        <f t="shared" si="8"/>
        <v>#DIV/0!</v>
      </c>
      <c r="AE11" s="254"/>
      <c r="AF11" s="179"/>
      <c r="AG11" s="223" t="e">
        <f t="shared" si="9"/>
        <v>#DIV/0!</v>
      </c>
      <c r="AH11" s="254"/>
      <c r="AI11" s="179"/>
      <c r="AJ11" s="223" t="e">
        <f t="shared" si="10"/>
        <v>#DIV/0!</v>
      </c>
      <c r="AK11" s="269" t="e">
        <f t="shared" si="11"/>
        <v>#DIV/0!</v>
      </c>
    </row>
    <row r="12" spans="1:37" x14ac:dyDescent="0.35">
      <c r="A12" s="246">
        <f>D.SISWA!A12</f>
        <v>7</v>
      </c>
      <c r="B12" s="214">
        <f>D.SISWA!B105</f>
        <v>0</v>
      </c>
      <c r="C12" s="214" t="str">
        <f>D.SISWA!C105</f>
        <v>KENZI REYNALDI</v>
      </c>
      <c r="D12" s="217" t="str">
        <f>D.SISWA!D105</f>
        <v>X ACP</v>
      </c>
      <c r="E12" s="246">
        <v>1</v>
      </c>
      <c r="F12" s="247" t="str">
        <f t="shared" si="0"/>
        <v>60</v>
      </c>
      <c r="G12" s="246"/>
      <c r="H12" s="217"/>
      <c r="I12" s="223" t="e">
        <f t="shared" si="1"/>
        <v>#DIV/0!</v>
      </c>
      <c r="J12" s="254"/>
      <c r="K12" s="304"/>
      <c r="L12" s="179"/>
      <c r="M12" s="223" t="e">
        <f t="shared" si="2"/>
        <v>#DIV/0!</v>
      </c>
      <c r="N12" s="254"/>
      <c r="O12" s="179"/>
      <c r="P12" s="223" t="e">
        <f t="shared" si="3"/>
        <v>#DIV/0!</v>
      </c>
      <c r="Q12" s="254"/>
      <c r="R12" s="179"/>
      <c r="S12" s="223" t="e">
        <f t="shared" si="4"/>
        <v>#DIV/0!</v>
      </c>
      <c r="T12" s="269" t="e">
        <f t="shared" si="5"/>
        <v>#DIV/0!</v>
      </c>
      <c r="V12" s="263">
        <v>1</v>
      </c>
      <c r="W12" s="247" t="str">
        <f t="shared" si="6"/>
        <v>60</v>
      </c>
      <c r="X12" s="246"/>
      <c r="Y12" s="217"/>
      <c r="Z12" s="223" t="e">
        <f t="shared" si="7"/>
        <v>#DIV/0!</v>
      </c>
      <c r="AA12" s="254"/>
      <c r="AB12" s="304"/>
      <c r="AC12" s="179"/>
      <c r="AD12" s="223" t="e">
        <f t="shared" si="8"/>
        <v>#DIV/0!</v>
      </c>
      <c r="AE12" s="254"/>
      <c r="AF12" s="179"/>
      <c r="AG12" s="223" t="e">
        <f t="shared" si="9"/>
        <v>#DIV/0!</v>
      </c>
      <c r="AH12" s="254"/>
      <c r="AI12" s="179"/>
      <c r="AJ12" s="223" t="e">
        <f t="shared" si="10"/>
        <v>#DIV/0!</v>
      </c>
      <c r="AK12" s="269" t="e">
        <f t="shared" si="11"/>
        <v>#DIV/0!</v>
      </c>
    </row>
    <row r="13" spans="1:37" x14ac:dyDescent="0.35">
      <c r="A13" s="246">
        <f>D.SISWA!A13</f>
        <v>8</v>
      </c>
      <c r="B13" s="214">
        <f>D.SISWA!B106</f>
        <v>0</v>
      </c>
      <c r="C13" s="214" t="str">
        <f>D.SISWA!C106</f>
        <v>LIANA NARASAKI</v>
      </c>
      <c r="D13" s="217" t="str">
        <f>D.SISWA!D106</f>
        <v>X ACP</v>
      </c>
      <c r="E13" s="246">
        <v>1</v>
      </c>
      <c r="F13" s="247" t="str">
        <f t="shared" si="0"/>
        <v>60</v>
      </c>
      <c r="G13" s="246"/>
      <c r="H13" s="217"/>
      <c r="I13" s="223" t="e">
        <f t="shared" si="1"/>
        <v>#DIV/0!</v>
      </c>
      <c r="J13" s="254"/>
      <c r="K13" s="304"/>
      <c r="L13" s="179"/>
      <c r="M13" s="223" t="e">
        <f t="shared" si="2"/>
        <v>#DIV/0!</v>
      </c>
      <c r="N13" s="254"/>
      <c r="O13" s="179"/>
      <c r="P13" s="223" t="e">
        <f t="shared" si="3"/>
        <v>#DIV/0!</v>
      </c>
      <c r="Q13" s="254"/>
      <c r="R13" s="179"/>
      <c r="S13" s="223" t="e">
        <f t="shared" si="4"/>
        <v>#DIV/0!</v>
      </c>
      <c r="T13" s="269" t="e">
        <f t="shared" si="5"/>
        <v>#DIV/0!</v>
      </c>
      <c r="V13" s="263">
        <v>1</v>
      </c>
      <c r="W13" s="247" t="str">
        <f t="shared" si="6"/>
        <v>60</v>
      </c>
      <c r="X13" s="246"/>
      <c r="Y13" s="217"/>
      <c r="Z13" s="223" t="e">
        <f t="shared" si="7"/>
        <v>#DIV/0!</v>
      </c>
      <c r="AA13" s="254"/>
      <c r="AB13" s="304"/>
      <c r="AC13" s="179"/>
      <c r="AD13" s="223" t="e">
        <f t="shared" si="8"/>
        <v>#DIV/0!</v>
      </c>
      <c r="AE13" s="254"/>
      <c r="AF13" s="179"/>
      <c r="AG13" s="223" t="e">
        <f t="shared" si="9"/>
        <v>#DIV/0!</v>
      </c>
      <c r="AH13" s="254"/>
      <c r="AI13" s="179"/>
      <c r="AJ13" s="223" t="e">
        <f t="shared" si="10"/>
        <v>#DIV/0!</v>
      </c>
      <c r="AK13" s="269" t="e">
        <f t="shared" si="11"/>
        <v>#DIV/0!</v>
      </c>
    </row>
    <row r="14" spans="1:37" x14ac:dyDescent="0.35">
      <c r="A14" s="246">
        <f>D.SISWA!A14</f>
        <v>9</v>
      </c>
      <c r="B14" s="214">
        <f>D.SISWA!B107</f>
        <v>0</v>
      </c>
      <c r="C14" s="214" t="str">
        <f>D.SISWA!C107</f>
        <v>FADIL BAIHAQI</v>
      </c>
      <c r="D14" s="217" t="str">
        <f>D.SISWA!D107</f>
        <v>X ACP</v>
      </c>
      <c r="E14" s="246">
        <v>0</v>
      </c>
      <c r="F14" s="247" t="str">
        <f t="shared" si="0"/>
        <v>60</v>
      </c>
      <c r="G14" s="246"/>
      <c r="H14" s="217"/>
      <c r="I14" s="223" t="e">
        <f t="shared" si="1"/>
        <v>#DIV/0!</v>
      </c>
      <c r="J14" s="254"/>
      <c r="K14" s="304"/>
      <c r="L14" s="179"/>
      <c r="M14" s="223" t="e">
        <f t="shared" si="2"/>
        <v>#DIV/0!</v>
      </c>
      <c r="N14" s="254"/>
      <c r="O14" s="179"/>
      <c r="P14" s="223" t="e">
        <f t="shared" si="3"/>
        <v>#DIV/0!</v>
      </c>
      <c r="Q14" s="254"/>
      <c r="R14" s="179"/>
      <c r="S14" s="223" t="e">
        <f t="shared" si="4"/>
        <v>#DIV/0!</v>
      </c>
      <c r="T14" s="269" t="e">
        <f t="shared" si="5"/>
        <v>#DIV/0!</v>
      </c>
      <c r="V14" s="263">
        <v>1</v>
      </c>
      <c r="W14" s="247" t="str">
        <f t="shared" si="6"/>
        <v>60</v>
      </c>
      <c r="X14" s="246"/>
      <c r="Y14" s="217"/>
      <c r="Z14" s="223" t="e">
        <f t="shared" si="7"/>
        <v>#DIV/0!</v>
      </c>
      <c r="AA14" s="254"/>
      <c r="AB14" s="304"/>
      <c r="AC14" s="179"/>
      <c r="AD14" s="223" t="e">
        <f t="shared" si="8"/>
        <v>#DIV/0!</v>
      </c>
      <c r="AE14" s="254"/>
      <c r="AF14" s="179"/>
      <c r="AG14" s="223" t="e">
        <f t="shared" si="9"/>
        <v>#DIV/0!</v>
      </c>
      <c r="AH14" s="254"/>
      <c r="AI14" s="179"/>
      <c r="AJ14" s="223" t="e">
        <f t="shared" si="10"/>
        <v>#DIV/0!</v>
      </c>
      <c r="AK14" s="269" t="e">
        <f t="shared" si="11"/>
        <v>#DIV/0!</v>
      </c>
    </row>
    <row r="15" spans="1:37" x14ac:dyDescent="0.35">
      <c r="A15" s="246">
        <f>D.SISWA!A15</f>
        <v>10</v>
      </c>
      <c r="B15" s="214">
        <f>D.SISWA!B108</f>
        <v>0</v>
      </c>
      <c r="C15" s="214" t="str">
        <f>D.SISWA!C108</f>
        <v xml:space="preserve">MAULIDA </v>
      </c>
      <c r="D15" s="217" t="str">
        <f>D.SISWA!D108</f>
        <v>X ACP</v>
      </c>
      <c r="E15" s="246">
        <v>1</v>
      </c>
      <c r="F15" s="247" t="str">
        <f t="shared" si="0"/>
        <v>60</v>
      </c>
      <c r="G15" s="246"/>
      <c r="H15" s="217"/>
      <c r="I15" s="223" t="e">
        <f t="shared" si="1"/>
        <v>#DIV/0!</v>
      </c>
      <c r="J15" s="254"/>
      <c r="K15" s="304"/>
      <c r="L15" s="179"/>
      <c r="M15" s="223" t="e">
        <f t="shared" si="2"/>
        <v>#DIV/0!</v>
      </c>
      <c r="N15" s="254"/>
      <c r="O15" s="179"/>
      <c r="P15" s="223" t="e">
        <f t="shared" si="3"/>
        <v>#DIV/0!</v>
      </c>
      <c r="Q15" s="254"/>
      <c r="R15" s="179"/>
      <c r="S15" s="223" t="e">
        <f t="shared" si="4"/>
        <v>#DIV/0!</v>
      </c>
      <c r="T15" s="269" t="e">
        <f t="shared" si="5"/>
        <v>#DIV/0!</v>
      </c>
      <c r="V15" s="263">
        <v>1</v>
      </c>
      <c r="W15" s="247" t="str">
        <f t="shared" si="6"/>
        <v>60</v>
      </c>
      <c r="X15" s="246"/>
      <c r="Y15" s="217"/>
      <c r="Z15" s="223" t="e">
        <f t="shared" si="7"/>
        <v>#DIV/0!</v>
      </c>
      <c r="AA15" s="254"/>
      <c r="AB15" s="304"/>
      <c r="AC15" s="179"/>
      <c r="AD15" s="223" t="e">
        <f t="shared" si="8"/>
        <v>#DIV/0!</v>
      </c>
      <c r="AE15" s="254"/>
      <c r="AF15" s="179"/>
      <c r="AG15" s="223" t="e">
        <f t="shared" si="9"/>
        <v>#DIV/0!</v>
      </c>
      <c r="AH15" s="254"/>
      <c r="AI15" s="179"/>
      <c r="AJ15" s="223" t="e">
        <f t="shared" si="10"/>
        <v>#DIV/0!</v>
      </c>
      <c r="AK15" s="269" t="e">
        <f t="shared" si="11"/>
        <v>#DIV/0!</v>
      </c>
    </row>
    <row r="16" spans="1:37" x14ac:dyDescent="0.35">
      <c r="A16" s="246">
        <f>D.SISWA!A16</f>
        <v>11</v>
      </c>
      <c r="B16" s="214">
        <f>D.SISWA!B109</f>
        <v>0</v>
      </c>
      <c r="C16" s="214" t="str">
        <f>D.SISWA!C109</f>
        <v>MIRAJ AKBAR PA</v>
      </c>
      <c r="D16" s="217" t="str">
        <f>D.SISWA!D109</f>
        <v>X ACP</v>
      </c>
      <c r="E16" s="246">
        <v>1</v>
      </c>
      <c r="F16" s="247" t="str">
        <f t="shared" si="0"/>
        <v>60</v>
      </c>
      <c r="G16" s="246"/>
      <c r="H16" s="217"/>
      <c r="I16" s="223" t="e">
        <f t="shared" si="1"/>
        <v>#DIV/0!</v>
      </c>
      <c r="J16" s="254"/>
      <c r="K16" s="304"/>
      <c r="L16" s="179"/>
      <c r="M16" s="223" t="e">
        <f t="shared" si="2"/>
        <v>#DIV/0!</v>
      </c>
      <c r="N16" s="254"/>
      <c r="O16" s="179"/>
      <c r="P16" s="223" t="e">
        <f t="shared" si="3"/>
        <v>#DIV/0!</v>
      </c>
      <c r="Q16" s="254"/>
      <c r="R16" s="179"/>
      <c r="S16" s="223" t="e">
        <f t="shared" si="4"/>
        <v>#DIV/0!</v>
      </c>
      <c r="T16" s="269" t="e">
        <f t="shared" si="5"/>
        <v>#DIV/0!</v>
      </c>
      <c r="V16" s="263">
        <v>0</v>
      </c>
      <c r="W16" s="247" t="str">
        <f t="shared" si="6"/>
        <v>60</v>
      </c>
      <c r="X16" s="246"/>
      <c r="Y16" s="217"/>
      <c r="Z16" s="223" t="e">
        <f t="shared" si="7"/>
        <v>#DIV/0!</v>
      </c>
      <c r="AA16" s="254"/>
      <c r="AB16" s="304"/>
      <c r="AC16" s="179"/>
      <c r="AD16" s="223" t="e">
        <f t="shared" si="8"/>
        <v>#DIV/0!</v>
      </c>
      <c r="AE16" s="254"/>
      <c r="AF16" s="179"/>
      <c r="AG16" s="223" t="e">
        <f t="shared" si="9"/>
        <v>#DIV/0!</v>
      </c>
      <c r="AH16" s="254"/>
      <c r="AI16" s="179"/>
      <c r="AJ16" s="223" t="e">
        <f t="shared" si="10"/>
        <v>#DIV/0!</v>
      </c>
      <c r="AK16" s="269" t="e">
        <f t="shared" si="11"/>
        <v>#DIV/0!</v>
      </c>
    </row>
    <row r="17" spans="1:37" x14ac:dyDescent="0.35">
      <c r="A17" s="246">
        <f>D.SISWA!A17</f>
        <v>12</v>
      </c>
      <c r="B17" s="214">
        <f>D.SISWA!B110</f>
        <v>0</v>
      </c>
      <c r="C17" s="214" t="str">
        <f>D.SISWA!C110</f>
        <v>MUHAMMAD DAVID</v>
      </c>
      <c r="D17" s="217" t="str">
        <f>D.SISWA!D110</f>
        <v>X ACP</v>
      </c>
      <c r="E17" s="246">
        <v>1</v>
      </c>
      <c r="F17" s="247" t="str">
        <f t="shared" si="0"/>
        <v>60</v>
      </c>
      <c r="G17" s="246"/>
      <c r="H17" s="217"/>
      <c r="I17" s="223" t="e">
        <f t="shared" si="1"/>
        <v>#DIV/0!</v>
      </c>
      <c r="J17" s="254"/>
      <c r="K17" s="304"/>
      <c r="L17" s="179"/>
      <c r="M17" s="223" t="e">
        <f t="shared" si="2"/>
        <v>#DIV/0!</v>
      </c>
      <c r="N17" s="254"/>
      <c r="O17" s="179"/>
      <c r="P17" s="223" t="e">
        <f t="shared" si="3"/>
        <v>#DIV/0!</v>
      </c>
      <c r="Q17" s="254"/>
      <c r="R17" s="179"/>
      <c r="S17" s="223" t="e">
        <f t="shared" si="4"/>
        <v>#DIV/0!</v>
      </c>
      <c r="T17" s="269" t="e">
        <f t="shared" si="5"/>
        <v>#DIV/0!</v>
      </c>
      <c r="V17" s="263">
        <v>1</v>
      </c>
      <c r="W17" s="247" t="str">
        <f t="shared" si="6"/>
        <v>60</v>
      </c>
      <c r="X17" s="246"/>
      <c r="Y17" s="217"/>
      <c r="Z17" s="223" t="e">
        <f t="shared" si="7"/>
        <v>#DIV/0!</v>
      </c>
      <c r="AA17" s="254"/>
      <c r="AB17" s="304"/>
      <c r="AC17" s="179"/>
      <c r="AD17" s="223" t="e">
        <f t="shared" si="8"/>
        <v>#DIV/0!</v>
      </c>
      <c r="AE17" s="254"/>
      <c r="AF17" s="179"/>
      <c r="AG17" s="223" t="e">
        <f t="shared" si="9"/>
        <v>#DIV/0!</v>
      </c>
      <c r="AH17" s="254"/>
      <c r="AI17" s="179"/>
      <c r="AJ17" s="223" t="e">
        <f t="shared" si="10"/>
        <v>#DIV/0!</v>
      </c>
      <c r="AK17" s="269" t="e">
        <f t="shared" si="11"/>
        <v>#DIV/0!</v>
      </c>
    </row>
    <row r="18" spans="1:37" x14ac:dyDescent="0.35">
      <c r="A18" s="246">
        <f>D.SISWA!A18</f>
        <v>13</v>
      </c>
      <c r="B18" s="214">
        <f>D.SISWA!B111</f>
        <v>0</v>
      </c>
      <c r="C18" s="214" t="str">
        <f>D.SISWA!C111</f>
        <v>MUHAMMAD IRPANA</v>
      </c>
      <c r="D18" s="217" t="str">
        <f>D.SISWA!D111</f>
        <v>X ACP</v>
      </c>
      <c r="E18" s="246">
        <v>1</v>
      </c>
      <c r="F18" s="247" t="str">
        <f t="shared" si="0"/>
        <v>60</v>
      </c>
      <c r="G18" s="246"/>
      <c r="H18" s="217"/>
      <c r="I18" s="223" t="e">
        <f t="shared" si="1"/>
        <v>#DIV/0!</v>
      </c>
      <c r="J18" s="254"/>
      <c r="K18" s="304"/>
      <c r="L18" s="179"/>
      <c r="M18" s="223" t="e">
        <f t="shared" si="2"/>
        <v>#DIV/0!</v>
      </c>
      <c r="N18" s="254"/>
      <c r="O18" s="179"/>
      <c r="P18" s="223" t="e">
        <f t="shared" si="3"/>
        <v>#DIV/0!</v>
      </c>
      <c r="Q18" s="254"/>
      <c r="R18" s="179"/>
      <c r="S18" s="223" t="e">
        <f t="shared" si="4"/>
        <v>#DIV/0!</v>
      </c>
      <c r="T18" s="269" t="e">
        <f t="shared" si="5"/>
        <v>#DIV/0!</v>
      </c>
      <c r="V18" s="263">
        <v>1</v>
      </c>
      <c r="W18" s="247" t="str">
        <f t="shared" si="6"/>
        <v>60</v>
      </c>
      <c r="X18" s="246"/>
      <c r="Y18" s="217"/>
      <c r="Z18" s="223" t="e">
        <f t="shared" si="7"/>
        <v>#DIV/0!</v>
      </c>
      <c r="AA18" s="254"/>
      <c r="AB18" s="304"/>
      <c r="AC18" s="179"/>
      <c r="AD18" s="223" t="e">
        <f t="shared" si="8"/>
        <v>#DIV/0!</v>
      </c>
      <c r="AE18" s="254"/>
      <c r="AF18" s="179"/>
      <c r="AG18" s="223" t="e">
        <f t="shared" si="9"/>
        <v>#DIV/0!</v>
      </c>
      <c r="AH18" s="254"/>
      <c r="AI18" s="179"/>
      <c r="AJ18" s="223" t="e">
        <f t="shared" si="10"/>
        <v>#DIV/0!</v>
      </c>
      <c r="AK18" s="269" t="e">
        <f t="shared" si="11"/>
        <v>#DIV/0!</v>
      </c>
    </row>
    <row r="19" spans="1:37" x14ac:dyDescent="0.35">
      <c r="A19" s="246">
        <f>D.SISWA!A19</f>
        <v>14</v>
      </c>
      <c r="B19" s="214">
        <f>D.SISWA!B112</f>
        <v>0</v>
      </c>
      <c r="C19" s="214" t="str">
        <f>D.SISWA!C112</f>
        <v>MUHAMMAD RAFFAEL</v>
      </c>
      <c r="D19" s="217" t="str">
        <f>D.SISWA!D112</f>
        <v>X ACP</v>
      </c>
      <c r="E19" s="246">
        <v>0</v>
      </c>
      <c r="F19" s="247" t="str">
        <f t="shared" si="0"/>
        <v>60</v>
      </c>
      <c r="G19" s="246"/>
      <c r="H19" s="217"/>
      <c r="I19" s="223" t="e">
        <f t="shared" si="1"/>
        <v>#DIV/0!</v>
      </c>
      <c r="J19" s="254"/>
      <c r="K19" s="304"/>
      <c r="L19" s="179"/>
      <c r="M19" s="223" t="e">
        <f t="shared" si="2"/>
        <v>#DIV/0!</v>
      </c>
      <c r="N19" s="254"/>
      <c r="O19" s="179"/>
      <c r="P19" s="223" t="e">
        <f t="shared" si="3"/>
        <v>#DIV/0!</v>
      </c>
      <c r="Q19" s="254"/>
      <c r="R19" s="179"/>
      <c r="S19" s="223" t="e">
        <f t="shared" si="4"/>
        <v>#DIV/0!</v>
      </c>
      <c r="T19" s="269" t="e">
        <f t="shared" si="5"/>
        <v>#DIV/0!</v>
      </c>
      <c r="V19" s="263">
        <v>0</v>
      </c>
      <c r="W19" s="247" t="str">
        <f t="shared" si="6"/>
        <v>60</v>
      </c>
      <c r="X19" s="246"/>
      <c r="Y19" s="217"/>
      <c r="Z19" s="223" t="e">
        <f t="shared" si="7"/>
        <v>#DIV/0!</v>
      </c>
      <c r="AA19" s="254"/>
      <c r="AB19" s="304"/>
      <c r="AC19" s="179"/>
      <c r="AD19" s="223" t="e">
        <f t="shared" si="8"/>
        <v>#DIV/0!</v>
      </c>
      <c r="AE19" s="254"/>
      <c r="AF19" s="179"/>
      <c r="AG19" s="223" t="e">
        <f t="shared" si="9"/>
        <v>#DIV/0!</v>
      </c>
      <c r="AH19" s="254"/>
      <c r="AI19" s="179"/>
      <c r="AJ19" s="223" t="e">
        <f t="shared" si="10"/>
        <v>#DIV/0!</v>
      </c>
      <c r="AK19" s="269" t="e">
        <f t="shared" si="11"/>
        <v>#DIV/0!</v>
      </c>
    </row>
    <row r="20" spans="1:37" x14ac:dyDescent="0.35">
      <c r="A20" s="246">
        <f>D.SISWA!A20</f>
        <v>15</v>
      </c>
      <c r="B20" s="214">
        <f>D.SISWA!B113</f>
        <v>0</v>
      </c>
      <c r="C20" s="214" t="str">
        <f>D.SISWA!C113</f>
        <v xml:space="preserve">NAUVAL KHAIRUL RISMAWAN </v>
      </c>
      <c r="D20" s="217" t="str">
        <f>D.SISWA!D113</f>
        <v>X ACP</v>
      </c>
      <c r="E20" s="246">
        <v>1</v>
      </c>
      <c r="F20" s="247" t="str">
        <f t="shared" si="0"/>
        <v>60</v>
      </c>
      <c r="G20" s="246"/>
      <c r="H20" s="217"/>
      <c r="I20" s="223" t="e">
        <f t="shared" si="1"/>
        <v>#DIV/0!</v>
      </c>
      <c r="J20" s="254"/>
      <c r="K20" s="304"/>
      <c r="L20" s="179"/>
      <c r="M20" s="223" t="e">
        <f t="shared" si="2"/>
        <v>#DIV/0!</v>
      </c>
      <c r="N20" s="254"/>
      <c r="O20" s="179"/>
      <c r="P20" s="223" t="e">
        <f t="shared" si="3"/>
        <v>#DIV/0!</v>
      </c>
      <c r="Q20" s="254"/>
      <c r="R20" s="179"/>
      <c r="S20" s="223" t="e">
        <f t="shared" si="4"/>
        <v>#DIV/0!</v>
      </c>
      <c r="T20" s="269" t="e">
        <f t="shared" si="5"/>
        <v>#DIV/0!</v>
      </c>
      <c r="V20" s="263">
        <v>1</v>
      </c>
      <c r="W20" s="247" t="str">
        <f t="shared" si="6"/>
        <v>60</v>
      </c>
      <c r="X20" s="246"/>
      <c r="Y20" s="217"/>
      <c r="Z20" s="223" t="e">
        <f t="shared" si="7"/>
        <v>#DIV/0!</v>
      </c>
      <c r="AA20" s="254"/>
      <c r="AB20" s="304"/>
      <c r="AC20" s="179"/>
      <c r="AD20" s="223" t="e">
        <f t="shared" si="8"/>
        <v>#DIV/0!</v>
      </c>
      <c r="AE20" s="254"/>
      <c r="AF20" s="179"/>
      <c r="AG20" s="223" t="e">
        <f t="shared" si="9"/>
        <v>#DIV/0!</v>
      </c>
      <c r="AH20" s="254"/>
      <c r="AI20" s="179"/>
      <c r="AJ20" s="223" t="e">
        <f t="shared" si="10"/>
        <v>#DIV/0!</v>
      </c>
      <c r="AK20" s="269" t="e">
        <f t="shared" si="11"/>
        <v>#DIV/0!</v>
      </c>
    </row>
    <row r="21" spans="1:37" x14ac:dyDescent="0.35">
      <c r="A21" s="246">
        <f>D.SISWA!A21</f>
        <v>16</v>
      </c>
      <c r="B21" s="214">
        <f>D.SISWA!B114</f>
        <v>0</v>
      </c>
      <c r="C21" s="214" t="str">
        <f>D.SISWA!C114</f>
        <v xml:space="preserve">NAYLA SALSABILA </v>
      </c>
      <c r="D21" s="217" t="str">
        <f>D.SISWA!D114</f>
        <v>X ACP</v>
      </c>
      <c r="E21" s="246">
        <v>0</v>
      </c>
      <c r="F21" s="247" t="str">
        <f t="shared" si="0"/>
        <v>60</v>
      </c>
      <c r="G21" s="246"/>
      <c r="H21" s="217"/>
      <c r="I21" s="223" t="e">
        <f t="shared" si="1"/>
        <v>#DIV/0!</v>
      </c>
      <c r="J21" s="254"/>
      <c r="K21" s="304"/>
      <c r="L21" s="179"/>
      <c r="M21" s="223" t="e">
        <f t="shared" si="2"/>
        <v>#DIV/0!</v>
      </c>
      <c r="N21" s="254"/>
      <c r="O21" s="179"/>
      <c r="P21" s="223" t="e">
        <f t="shared" si="3"/>
        <v>#DIV/0!</v>
      </c>
      <c r="Q21" s="254"/>
      <c r="R21" s="179"/>
      <c r="S21" s="223" t="e">
        <f t="shared" si="4"/>
        <v>#DIV/0!</v>
      </c>
      <c r="T21" s="269" t="e">
        <f t="shared" si="5"/>
        <v>#DIV/0!</v>
      </c>
      <c r="V21" s="263">
        <v>1</v>
      </c>
      <c r="W21" s="247" t="str">
        <f t="shared" si="6"/>
        <v>60</v>
      </c>
      <c r="X21" s="246"/>
      <c r="Y21" s="217"/>
      <c r="Z21" s="223" t="e">
        <f t="shared" si="7"/>
        <v>#DIV/0!</v>
      </c>
      <c r="AA21" s="254"/>
      <c r="AB21" s="304"/>
      <c r="AC21" s="179"/>
      <c r="AD21" s="223" t="e">
        <f t="shared" si="8"/>
        <v>#DIV/0!</v>
      </c>
      <c r="AE21" s="254"/>
      <c r="AF21" s="179"/>
      <c r="AG21" s="223" t="e">
        <f t="shared" si="9"/>
        <v>#DIV/0!</v>
      </c>
      <c r="AH21" s="254"/>
      <c r="AI21" s="179"/>
      <c r="AJ21" s="223" t="e">
        <f t="shared" si="10"/>
        <v>#DIV/0!</v>
      </c>
      <c r="AK21" s="269" t="e">
        <f t="shared" si="11"/>
        <v>#DIV/0!</v>
      </c>
    </row>
    <row r="22" spans="1:37" x14ac:dyDescent="0.35">
      <c r="A22" s="246">
        <f>D.SISWA!A22</f>
        <v>17</v>
      </c>
      <c r="B22" s="214">
        <f>D.SISWA!B115</f>
        <v>0</v>
      </c>
      <c r="C22" s="214" t="str">
        <f>D.SISWA!C115</f>
        <v>NAZWAH RUBY AKSAYLA MAULANA</v>
      </c>
      <c r="D22" s="217" t="str">
        <f>D.SISWA!D115</f>
        <v>X ACP</v>
      </c>
      <c r="E22" s="246">
        <v>1</v>
      </c>
      <c r="F22" s="247" t="str">
        <f t="shared" si="0"/>
        <v>60</v>
      </c>
      <c r="G22" s="246"/>
      <c r="H22" s="217"/>
      <c r="I22" s="223" t="e">
        <f t="shared" si="1"/>
        <v>#DIV/0!</v>
      </c>
      <c r="J22" s="254"/>
      <c r="K22" s="304"/>
      <c r="L22" s="179"/>
      <c r="M22" s="223" t="e">
        <f t="shared" si="2"/>
        <v>#DIV/0!</v>
      </c>
      <c r="N22" s="254"/>
      <c r="O22" s="179"/>
      <c r="P22" s="223" t="e">
        <f t="shared" si="3"/>
        <v>#DIV/0!</v>
      </c>
      <c r="Q22" s="254"/>
      <c r="R22" s="179"/>
      <c r="S22" s="223" t="e">
        <f t="shared" si="4"/>
        <v>#DIV/0!</v>
      </c>
      <c r="T22" s="269" t="e">
        <f t="shared" si="5"/>
        <v>#DIV/0!</v>
      </c>
      <c r="V22" s="263">
        <v>0</v>
      </c>
      <c r="W22" s="247" t="str">
        <f t="shared" si="6"/>
        <v>60</v>
      </c>
      <c r="X22" s="246"/>
      <c r="Y22" s="217"/>
      <c r="Z22" s="223" t="e">
        <f t="shared" si="7"/>
        <v>#DIV/0!</v>
      </c>
      <c r="AA22" s="254"/>
      <c r="AB22" s="304"/>
      <c r="AC22" s="179"/>
      <c r="AD22" s="223" t="e">
        <f t="shared" si="8"/>
        <v>#DIV/0!</v>
      </c>
      <c r="AE22" s="254"/>
      <c r="AF22" s="179"/>
      <c r="AG22" s="223" t="e">
        <f t="shared" si="9"/>
        <v>#DIV/0!</v>
      </c>
      <c r="AH22" s="254"/>
      <c r="AI22" s="179"/>
      <c r="AJ22" s="223" t="e">
        <f t="shared" si="10"/>
        <v>#DIV/0!</v>
      </c>
      <c r="AK22" s="269" t="e">
        <f t="shared" si="11"/>
        <v>#DIV/0!</v>
      </c>
    </row>
    <row r="23" spans="1:37" x14ac:dyDescent="0.35">
      <c r="A23" s="246">
        <f>D.SISWA!A23</f>
        <v>18</v>
      </c>
      <c r="B23" s="214">
        <f>D.SISWA!B116</f>
        <v>0</v>
      </c>
      <c r="C23" s="214" t="str">
        <f>D.SISWA!C116</f>
        <v>OBI ABI SETIAWAN</v>
      </c>
      <c r="D23" s="217" t="str">
        <f>D.SISWA!D116</f>
        <v>X ACP</v>
      </c>
      <c r="E23" s="246">
        <v>1</v>
      </c>
      <c r="F23" s="247" t="str">
        <f t="shared" si="0"/>
        <v>60</v>
      </c>
      <c r="G23" s="246"/>
      <c r="H23" s="217"/>
      <c r="I23" s="223" t="e">
        <f t="shared" si="1"/>
        <v>#DIV/0!</v>
      </c>
      <c r="J23" s="254"/>
      <c r="K23" s="304"/>
      <c r="L23" s="179"/>
      <c r="M23" s="223" t="e">
        <f t="shared" si="2"/>
        <v>#DIV/0!</v>
      </c>
      <c r="N23" s="254"/>
      <c r="O23" s="179"/>
      <c r="P23" s="223" t="e">
        <f t="shared" si="3"/>
        <v>#DIV/0!</v>
      </c>
      <c r="Q23" s="254"/>
      <c r="R23" s="179"/>
      <c r="S23" s="223" t="e">
        <f t="shared" si="4"/>
        <v>#DIV/0!</v>
      </c>
      <c r="T23" s="269" t="e">
        <f t="shared" si="5"/>
        <v>#DIV/0!</v>
      </c>
      <c r="V23" s="263">
        <v>1</v>
      </c>
      <c r="W23" s="247" t="str">
        <f t="shared" si="6"/>
        <v>60</v>
      </c>
      <c r="X23" s="246"/>
      <c r="Y23" s="217"/>
      <c r="Z23" s="223" t="e">
        <f t="shared" si="7"/>
        <v>#DIV/0!</v>
      </c>
      <c r="AA23" s="254"/>
      <c r="AB23" s="304"/>
      <c r="AC23" s="179"/>
      <c r="AD23" s="223" t="e">
        <f t="shared" si="8"/>
        <v>#DIV/0!</v>
      </c>
      <c r="AE23" s="254"/>
      <c r="AF23" s="179"/>
      <c r="AG23" s="223" t="e">
        <f t="shared" si="9"/>
        <v>#DIV/0!</v>
      </c>
      <c r="AH23" s="254"/>
      <c r="AI23" s="179"/>
      <c r="AJ23" s="223" t="e">
        <f t="shared" si="10"/>
        <v>#DIV/0!</v>
      </c>
      <c r="AK23" s="269" t="e">
        <f t="shared" si="11"/>
        <v>#DIV/0!</v>
      </c>
    </row>
    <row r="24" spans="1:37" s="58" customFormat="1" x14ac:dyDescent="0.35">
      <c r="A24" s="248">
        <f>D.SISWA!A24</f>
        <v>19</v>
      </c>
      <c r="B24" s="214">
        <f>D.SISWA!B117</f>
        <v>0</v>
      </c>
      <c r="C24" s="214" t="str">
        <f>D.SISWA!C117</f>
        <v>RABBY KARUNIA</v>
      </c>
      <c r="D24" s="217" t="str">
        <f>D.SISWA!D117</f>
        <v>X ACP</v>
      </c>
      <c r="E24" s="248">
        <v>1</v>
      </c>
      <c r="F24" s="247" t="str">
        <f t="shared" si="0"/>
        <v>60</v>
      </c>
      <c r="G24" s="248"/>
      <c r="H24" s="221"/>
      <c r="I24" s="251" t="e">
        <f t="shared" si="1"/>
        <v>#DIV/0!</v>
      </c>
      <c r="J24" s="255"/>
      <c r="K24" s="305"/>
      <c r="L24" s="193"/>
      <c r="M24" s="251" t="e">
        <f t="shared" si="2"/>
        <v>#DIV/0!</v>
      </c>
      <c r="N24" s="255"/>
      <c r="O24" s="193"/>
      <c r="P24" s="251" t="e">
        <f t="shared" si="3"/>
        <v>#DIV/0!</v>
      </c>
      <c r="Q24" s="255"/>
      <c r="R24" s="193"/>
      <c r="S24" s="251" t="e">
        <f t="shared" si="4"/>
        <v>#DIV/0!</v>
      </c>
      <c r="T24" s="269" t="e">
        <f t="shared" si="5"/>
        <v>#DIV/0!</v>
      </c>
      <c r="V24" s="263">
        <v>1</v>
      </c>
      <c r="W24" s="247" t="str">
        <f t="shared" si="6"/>
        <v>60</v>
      </c>
      <c r="X24" s="248"/>
      <c r="Y24" s="221"/>
      <c r="Z24" s="251" t="e">
        <f t="shared" si="7"/>
        <v>#DIV/0!</v>
      </c>
      <c r="AA24" s="255"/>
      <c r="AB24" s="305"/>
      <c r="AC24" s="193"/>
      <c r="AD24" s="251" t="e">
        <f t="shared" si="8"/>
        <v>#DIV/0!</v>
      </c>
      <c r="AE24" s="255"/>
      <c r="AF24" s="193"/>
      <c r="AG24" s="251" t="e">
        <f t="shared" si="9"/>
        <v>#DIV/0!</v>
      </c>
      <c r="AH24" s="255"/>
      <c r="AI24" s="193"/>
      <c r="AJ24" s="251" t="e">
        <f t="shared" si="10"/>
        <v>#DIV/0!</v>
      </c>
      <c r="AK24" s="269" t="e">
        <f t="shared" si="11"/>
        <v>#DIV/0!</v>
      </c>
    </row>
    <row r="25" spans="1:37" x14ac:dyDescent="0.35">
      <c r="A25" s="246">
        <f>D.SISWA!A25</f>
        <v>20</v>
      </c>
      <c r="B25" s="214">
        <f>D.SISWA!B118</f>
        <v>0</v>
      </c>
      <c r="C25" s="214" t="str">
        <f>D.SISWA!C118</f>
        <v xml:space="preserve">RAMA DIAN SAPUTRA </v>
      </c>
      <c r="D25" s="217" t="str">
        <f>D.SISWA!D118</f>
        <v>X ACP</v>
      </c>
      <c r="E25" s="246"/>
      <c r="F25" s="247" t="str">
        <f t="shared" si="0"/>
        <v>60</v>
      </c>
      <c r="G25" s="246"/>
      <c r="H25" s="217"/>
      <c r="I25" s="251" t="e">
        <f t="shared" si="1"/>
        <v>#DIV/0!</v>
      </c>
      <c r="J25" s="254"/>
      <c r="K25" s="304"/>
      <c r="L25" s="179"/>
      <c r="M25" s="251" t="e">
        <f t="shared" si="2"/>
        <v>#DIV/0!</v>
      </c>
      <c r="N25" s="254"/>
      <c r="O25" s="179"/>
      <c r="P25" s="251" t="e">
        <f t="shared" si="3"/>
        <v>#DIV/0!</v>
      </c>
      <c r="Q25" s="254"/>
      <c r="R25" s="179"/>
      <c r="S25" s="251" t="e">
        <f t="shared" ref="S25:S53" si="12">AVERAGE(Q25:R25)</f>
        <v>#DIV/0!</v>
      </c>
      <c r="T25" s="269" t="e">
        <f t="shared" si="5"/>
        <v>#DIV/0!</v>
      </c>
      <c r="V25" s="263">
        <v>1</v>
      </c>
      <c r="W25" s="247" t="str">
        <f t="shared" si="6"/>
        <v>60</v>
      </c>
      <c r="X25" s="246"/>
      <c r="Y25" s="217"/>
      <c r="Z25" s="251" t="e">
        <f t="shared" si="7"/>
        <v>#DIV/0!</v>
      </c>
      <c r="AA25" s="254"/>
      <c r="AB25" s="304"/>
      <c r="AC25" s="179"/>
      <c r="AD25" s="251" t="e">
        <f t="shared" si="8"/>
        <v>#DIV/0!</v>
      </c>
      <c r="AE25" s="254"/>
      <c r="AF25" s="179"/>
      <c r="AG25" s="251" t="e">
        <f t="shared" si="9"/>
        <v>#DIV/0!</v>
      </c>
      <c r="AH25" s="254"/>
      <c r="AI25" s="179"/>
      <c r="AJ25" s="251" t="e">
        <f t="shared" si="10"/>
        <v>#DIV/0!</v>
      </c>
      <c r="AK25" s="269" t="e">
        <f t="shared" si="11"/>
        <v>#DIV/0!</v>
      </c>
    </row>
    <row r="26" spans="1:37" x14ac:dyDescent="0.35">
      <c r="A26" s="246">
        <f>D.SISWA!A26</f>
        <v>21</v>
      </c>
      <c r="B26" s="214">
        <f>D.SISWA!B119</f>
        <v>0</v>
      </c>
      <c r="C26" s="214" t="str">
        <f>D.SISWA!C119</f>
        <v>SYAHRIL ARDIANSYAH</v>
      </c>
      <c r="D26" s="217" t="str">
        <f>D.SISWA!D119</f>
        <v>X ACP</v>
      </c>
      <c r="E26" s="246"/>
      <c r="F26" s="247" t="str">
        <f t="shared" si="0"/>
        <v>60</v>
      </c>
      <c r="G26" s="246"/>
      <c r="H26" s="217"/>
      <c r="I26" s="251" t="e">
        <f t="shared" si="1"/>
        <v>#DIV/0!</v>
      </c>
      <c r="J26" s="254"/>
      <c r="K26" s="304"/>
      <c r="L26" s="179"/>
      <c r="M26" s="251" t="e">
        <f t="shared" si="2"/>
        <v>#DIV/0!</v>
      </c>
      <c r="N26" s="254"/>
      <c r="O26" s="179"/>
      <c r="P26" s="251" t="e">
        <f t="shared" si="3"/>
        <v>#DIV/0!</v>
      </c>
      <c r="Q26" s="254"/>
      <c r="R26" s="179"/>
      <c r="S26" s="251" t="e">
        <f t="shared" si="12"/>
        <v>#DIV/0!</v>
      </c>
      <c r="T26" s="269" t="e">
        <f t="shared" si="5"/>
        <v>#DIV/0!</v>
      </c>
      <c r="V26" s="263">
        <v>1</v>
      </c>
      <c r="W26" s="247" t="str">
        <f t="shared" si="6"/>
        <v>60</v>
      </c>
      <c r="X26" s="246"/>
      <c r="Y26" s="217"/>
      <c r="Z26" s="251" t="e">
        <f t="shared" si="7"/>
        <v>#DIV/0!</v>
      </c>
      <c r="AA26" s="254"/>
      <c r="AB26" s="304"/>
      <c r="AC26" s="179"/>
      <c r="AD26" s="251" t="e">
        <f t="shared" si="8"/>
        <v>#DIV/0!</v>
      </c>
      <c r="AE26" s="254"/>
      <c r="AF26" s="179"/>
      <c r="AG26" s="251" t="e">
        <f t="shared" si="9"/>
        <v>#DIV/0!</v>
      </c>
      <c r="AH26" s="254"/>
      <c r="AI26" s="179"/>
      <c r="AJ26" s="251" t="e">
        <f t="shared" si="10"/>
        <v>#DIV/0!</v>
      </c>
      <c r="AK26" s="269" t="e">
        <f t="shared" si="11"/>
        <v>#DIV/0!</v>
      </c>
    </row>
    <row r="27" spans="1:37" x14ac:dyDescent="0.35">
      <c r="A27" s="246">
        <f>D.SISWA!A27</f>
        <v>22</v>
      </c>
      <c r="B27" s="214">
        <f>D.SISWA!B120</f>
        <v>0</v>
      </c>
      <c r="C27" s="214" t="str">
        <f>D.SISWA!C120</f>
        <v xml:space="preserve">TIARA APRILIA </v>
      </c>
      <c r="D27" s="217" t="str">
        <f>D.SISWA!D120</f>
        <v>X ACP</v>
      </c>
      <c r="E27" s="246"/>
      <c r="F27" s="247" t="str">
        <f t="shared" si="0"/>
        <v>60</v>
      </c>
      <c r="G27" s="246"/>
      <c r="H27" s="217"/>
      <c r="I27" s="251" t="e">
        <f t="shared" si="1"/>
        <v>#DIV/0!</v>
      </c>
      <c r="J27" s="254"/>
      <c r="K27" s="304"/>
      <c r="L27" s="179"/>
      <c r="M27" s="251" t="e">
        <f t="shared" si="2"/>
        <v>#DIV/0!</v>
      </c>
      <c r="N27" s="254"/>
      <c r="O27" s="179"/>
      <c r="P27" s="251" t="e">
        <f t="shared" si="3"/>
        <v>#DIV/0!</v>
      </c>
      <c r="Q27" s="254"/>
      <c r="R27" s="179"/>
      <c r="S27" s="251" t="e">
        <f t="shared" si="12"/>
        <v>#DIV/0!</v>
      </c>
      <c r="T27" s="269" t="e">
        <f t="shared" si="5"/>
        <v>#DIV/0!</v>
      </c>
      <c r="V27" s="263">
        <v>1</v>
      </c>
      <c r="W27" s="247" t="str">
        <f t="shared" si="6"/>
        <v>60</v>
      </c>
      <c r="X27" s="246"/>
      <c r="Y27" s="217"/>
      <c r="Z27" s="251" t="e">
        <f t="shared" si="7"/>
        <v>#DIV/0!</v>
      </c>
      <c r="AA27" s="254"/>
      <c r="AB27" s="304"/>
      <c r="AC27" s="179"/>
      <c r="AD27" s="251" t="e">
        <f t="shared" si="8"/>
        <v>#DIV/0!</v>
      </c>
      <c r="AE27" s="254"/>
      <c r="AF27" s="179"/>
      <c r="AG27" s="251" t="e">
        <f t="shared" si="9"/>
        <v>#DIV/0!</v>
      </c>
      <c r="AH27" s="254"/>
      <c r="AI27" s="179"/>
      <c r="AJ27" s="251" t="e">
        <f t="shared" si="10"/>
        <v>#DIV/0!</v>
      </c>
      <c r="AK27" s="269" t="e">
        <f t="shared" si="11"/>
        <v>#DIV/0!</v>
      </c>
    </row>
    <row r="28" spans="1:37" x14ac:dyDescent="0.35">
      <c r="A28" s="246">
        <f>D.SISWA!A28</f>
        <v>23</v>
      </c>
      <c r="B28" s="214">
        <f>D.SISWA!B121</f>
        <v>0</v>
      </c>
      <c r="C28" s="214" t="str">
        <f>D.SISWA!C121</f>
        <v>ANDHIKA SAPUTRA</v>
      </c>
      <c r="D28" s="217" t="str">
        <f>D.SISWA!D121</f>
        <v>X ACP</v>
      </c>
      <c r="E28" s="246"/>
      <c r="F28" s="247" t="str">
        <f t="shared" si="0"/>
        <v>60</v>
      </c>
      <c r="G28" s="246"/>
      <c r="H28" s="217"/>
      <c r="I28" s="251" t="e">
        <f t="shared" si="1"/>
        <v>#DIV/0!</v>
      </c>
      <c r="J28" s="254"/>
      <c r="K28" s="304"/>
      <c r="L28" s="179"/>
      <c r="M28" s="251" t="e">
        <f t="shared" si="2"/>
        <v>#DIV/0!</v>
      </c>
      <c r="N28" s="254"/>
      <c r="O28" s="179"/>
      <c r="P28" s="251" t="e">
        <f t="shared" si="3"/>
        <v>#DIV/0!</v>
      </c>
      <c r="Q28" s="254"/>
      <c r="R28" s="179"/>
      <c r="S28" s="251" t="e">
        <f t="shared" si="12"/>
        <v>#DIV/0!</v>
      </c>
      <c r="T28" s="269" t="e">
        <f t="shared" si="5"/>
        <v>#DIV/0!</v>
      </c>
      <c r="V28" s="263">
        <v>1</v>
      </c>
      <c r="W28" s="247" t="str">
        <f t="shared" si="6"/>
        <v>60</v>
      </c>
      <c r="X28" s="246"/>
      <c r="Y28" s="217"/>
      <c r="Z28" s="251" t="e">
        <f t="shared" si="7"/>
        <v>#DIV/0!</v>
      </c>
      <c r="AA28" s="254"/>
      <c r="AB28" s="304"/>
      <c r="AC28" s="179"/>
      <c r="AD28" s="251" t="e">
        <f t="shared" si="8"/>
        <v>#DIV/0!</v>
      </c>
      <c r="AE28" s="254"/>
      <c r="AF28" s="179"/>
      <c r="AG28" s="251" t="e">
        <f t="shared" si="9"/>
        <v>#DIV/0!</v>
      </c>
      <c r="AH28" s="254"/>
      <c r="AI28" s="179"/>
      <c r="AJ28" s="251" t="e">
        <f t="shared" si="10"/>
        <v>#DIV/0!</v>
      </c>
      <c r="AK28" s="269" t="e">
        <f t="shared" si="11"/>
        <v>#DIV/0!</v>
      </c>
    </row>
    <row r="29" spans="1:37" x14ac:dyDescent="0.35">
      <c r="A29" s="246">
        <f>D.SISWA!A29</f>
        <v>24</v>
      </c>
      <c r="B29" s="214">
        <f>D.SISWA!B122</f>
        <v>0</v>
      </c>
      <c r="C29" s="214">
        <f>D.SISWA!C122</f>
        <v>0</v>
      </c>
      <c r="D29" s="217">
        <f>D.SISWA!D122</f>
        <v>0</v>
      </c>
      <c r="E29" s="246"/>
      <c r="F29" s="247" t="str">
        <f t="shared" si="0"/>
        <v>60</v>
      </c>
      <c r="G29" s="246"/>
      <c r="H29" s="217"/>
      <c r="I29" s="251" t="e">
        <f t="shared" si="1"/>
        <v>#DIV/0!</v>
      </c>
      <c r="J29" s="254"/>
      <c r="K29" s="304"/>
      <c r="L29" s="179"/>
      <c r="M29" s="251" t="e">
        <f t="shared" si="2"/>
        <v>#DIV/0!</v>
      </c>
      <c r="N29" s="254"/>
      <c r="O29" s="179"/>
      <c r="P29" s="251" t="e">
        <f t="shared" si="3"/>
        <v>#DIV/0!</v>
      </c>
      <c r="Q29" s="254"/>
      <c r="R29" s="179"/>
      <c r="S29" s="251" t="e">
        <f t="shared" si="12"/>
        <v>#DIV/0!</v>
      </c>
      <c r="T29" s="269" t="e">
        <f t="shared" si="5"/>
        <v>#DIV/0!</v>
      </c>
      <c r="V29" s="263">
        <v>1</v>
      </c>
      <c r="W29" s="247" t="str">
        <f t="shared" si="6"/>
        <v>60</v>
      </c>
      <c r="X29" s="246"/>
      <c r="Y29" s="217"/>
      <c r="Z29" s="251" t="e">
        <f t="shared" si="7"/>
        <v>#DIV/0!</v>
      </c>
      <c r="AA29" s="254"/>
      <c r="AB29" s="304"/>
      <c r="AC29" s="179"/>
      <c r="AD29" s="251" t="e">
        <f t="shared" si="8"/>
        <v>#DIV/0!</v>
      </c>
      <c r="AE29" s="254"/>
      <c r="AF29" s="179"/>
      <c r="AG29" s="251" t="e">
        <f t="shared" si="9"/>
        <v>#DIV/0!</v>
      </c>
      <c r="AH29" s="254"/>
      <c r="AI29" s="179"/>
      <c r="AJ29" s="251" t="e">
        <f t="shared" si="10"/>
        <v>#DIV/0!</v>
      </c>
      <c r="AK29" s="269" t="e">
        <f t="shared" si="11"/>
        <v>#DIV/0!</v>
      </c>
    </row>
    <row r="30" spans="1:37" x14ac:dyDescent="0.35">
      <c r="A30" s="246">
        <f>D.SISWA!A30</f>
        <v>25</v>
      </c>
      <c r="B30" s="214">
        <f>D.SISWA!B123</f>
        <v>0</v>
      </c>
      <c r="C30" s="214">
        <f>D.SISWA!C123</f>
        <v>0</v>
      </c>
      <c r="D30" s="217">
        <f>D.SISWA!D123</f>
        <v>0</v>
      </c>
      <c r="E30" s="246"/>
      <c r="F30" s="247" t="str">
        <f t="shared" si="0"/>
        <v>60</v>
      </c>
      <c r="G30" s="246"/>
      <c r="H30" s="217"/>
      <c r="I30" s="251" t="e">
        <f t="shared" si="1"/>
        <v>#DIV/0!</v>
      </c>
      <c r="J30" s="254"/>
      <c r="K30" s="304"/>
      <c r="L30" s="179"/>
      <c r="M30" s="251" t="e">
        <f t="shared" si="2"/>
        <v>#DIV/0!</v>
      </c>
      <c r="N30" s="254"/>
      <c r="O30" s="179"/>
      <c r="P30" s="251" t="e">
        <f t="shared" si="3"/>
        <v>#DIV/0!</v>
      </c>
      <c r="Q30" s="254"/>
      <c r="R30" s="179"/>
      <c r="S30" s="251" t="e">
        <f t="shared" si="12"/>
        <v>#DIV/0!</v>
      </c>
      <c r="T30" s="269" t="e">
        <f t="shared" si="5"/>
        <v>#DIV/0!</v>
      </c>
      <c r="V30" s="263">
        <v>1</v>
      </c>
      <c r="W30" s="247" t="str">
        <f t="shared" si="6"/>
        <v>60</v>
      </c>
      <c r="X30" s="246"/>
      <c r="Y30" s="217"/>
      <c r="Z30" s="251" t="e">
        <f t="shared" si="7"/>
        <v>#DIV/0!</v>
      </c>
      <c r="AA30" s="254"/>
      <c r="AB30" s="304"/>
      <c r="AC30" s="179"/>
      <c r="AD30" s="251" t="e">
        <f t="shared" si="8"/>
        <v>#DIV/0!</v>
      </c>
      <c r="AE30" s="254"/>
      <c r="AF30" s="179"/>
      <c r="AG30" s="251" t="e">
        <f t="shared" si="9"/>
        <v>#DIV/0!</v>
      </c>
      <c r="AH30" s="254"/>
      <c r="AI30" s="179"/>
      <c r="AJ30" s="251" t="e">
        <f t="shared" si="10"/>
        <v>#DIV/0!</v>
      </c>
      <c r="AK30" s="269" t="e">
        <f t="shared" si="11"/>
        <v>#DIV/0!</v>
      </c>
    </row>
    <row r="31" spans="1:37" x14ac:dyDescent="0.35">
      <c r="A31" s="246">
        <f>D.SISWA!A31</f>
        <v>26</v>
      </c>
      <c r="B31" s="214">
        <f>D.SISWA!B124</f>
        <v>0</v>
      </c>
      <c r="C31" s="214">
        <f>D.SISWA!C124</f>
        <v>0</v>
      </c>
      <c r="D31" s="217">
        <f>D.SISWA!D124</f>
        <v>0</v>
      </c>
      <c r="E31" s="246"/>
      <c r="F31" s="247" t="str">
        <f t="shared" si="0"/>
        <v>60</v>
      </c>
      <c r="G31" s="246"/>
      <c r="H31" s="217"/>
      <c r="I31" s="251" t="e">
        <f t="shared" si="1"/>
        <v>#DIV/0!</v>
      </c>
      <c r="J31" s="254"/>
      <c r="K31" s="304"/>
      <c r="L31" s="179"/>
      <c r="M31" s="251" t="e">
        <f t="shared" si="2"/>
        <v>#DIV/0!</v>
      </c>
      <c r="N31" s="254"/>
      <c r="O31" s="179"/>
      <c r="P31" s="251" t="e">
        <f t="shared" si="3"/>
        <v>#DIV/0!</v>
      </c>
      <c r="Q31" s="254"/>
      <c r="R31" s="179"/>
      <c r="S31" s="251" t="e">
        <f t="shared" si="12"/>
        <v>#DIV/0!</v>
      </c>
      <c r="T31" s="269" t="e">
        <f t="shared" si="5"/>
        <v>#DIV/0!</v>
      </c>
      <c r="V31" s="263">
        <v>1</v>
      </c>
      <c r="W31" s="247" t="str">
        <f t="shared" si="6"/>
        <v>60</v>
      </c>
      <c r="X31" s="246"/>
      <c r="Y31" s="217"/>
      <c r="Z31" s="251" t="e">
        <f t="shared" si="7"/>
        <v>#DIV/0!</v>
      </c>
      <c r="AA31" s="254"/>
      <c r="AB31" s="304"/>
      <c r="AC31" s="179"/>
      <c r="AD31" s="251" t="e">
        <f t="shared" si="8"/>
        <v>#DIV/0!</v>
      </c>
      <c r="AE31" s="254"/>
      <c r="AF31" s="179"/>
      <c r="AG31" s="251" t="e">
        <f t="shared" si="9"/>
        <v>#DIV/0!</v>
      </c>
      <c r="AH31" s="254"/>
      <c r="AI31" s="179"/>
      <c r="AJ31" s="251" t="e">
        <f t="shared" si="10"/>
        <v>#DIV/0!</v>
      </c>
      <c r="AK31" s="269" t="e">
        <f t="shared" si="11"/>
        <v>#DIV/0!</v>
      </c>
    </row>
    <row r="32" spans="1:37" x14ac:dyDescent="0.35">
      <c r="A32" s="246">
        <f>D.SISWA!A32</f>
        <v>27</v>
      </c>
      <c r="B32" s="214">
        <f>D.SISWA!B125</f>
        <v>0</v>
      </c>
      <c r="C32" s="214">
        <f>D.SISWA!C125</f>
        <v>0</v>
      </c>
      <c r="D32" s="217">
        <f>D.SISWA!D125</f>
        <v>0</v>
      </c>
      <c r="E32" s="246"/>
      <c r="F32" s="247" t="str">
        <f t="shared" si="0"/>
        <v>60</v>
      </c>
      <c r="G32" s="246"/>
      <c r="H32" s="217"/>
      <c r="I32" s="251" t="e">
        <f t="shared" si="1"/>
        <v>#DIV/0!</v>
      </c>
      <c r="J32" s="254"/>
      <c r="K32" s="304"/>
      <c r="L32" s="179"/>
      <c r="M32" s="251" t="e">
        <f t="shared" si="2"/>
        <v>#DIV/0!</v>
      </c>
      <c r="N32" s="254"/>
      <c r="O32" s="179"/>
      <c r="P32" s="251" t="e">
        <f t="shared" si="3"/>
        <v>#DIV/0!</v>
      </c>
      <c r="Q32" s="254"/>
      <c r="R32" s="179"/>
      <c r="S32" s="251" t="e">
        <f t="shared" si="12"/>
        <v>#DIV/0!</v>
      </c>
      <c r="T32" s="269" t="e">
        <f t="shared" si="5"/>
        <v>#DIV/0!</v>
      </c>
      <c r="V32" s="263">
        <v>1</v>
      </c>
      <c r="W32" s="247" t="str">
        <f t="shared" si="6"/>
        <v>60</v>
      </c>
      <c r="X32" s="246"/>
      <c r="Y32" s="217"/>
      <c r="Z32" s="251" t="e">
        <f t="shared" si="7"/>
        <v>#DIV/0!</v>
      </c>
      <c r="AA32" s="254"/>
      <c r="AB32" s="304"/>
      <c r="AC32" s="179"/>
      <c r="AD32" s="251" t="e">
        <f t="shared" si="8"/>
        <v>#DIV/0!</v>
      </c>
      <c r="AE32" s="254"/>
      <c r="AF32" s="179"/>
      <c r="AG32" s="251" t="e">
        <f t="shared" si="9"/>
        <v>#DIV/0!</v>
      </c>
      <c r="AH32" s="254"/>
      <c r="AI32" s="179"/>
      <c r="AJ32" s="251" t="e">
        <f t="shared" si="10"/>
        <v>#DIV/0!</v>
      </c>
      <c r="AK32" s="269" t="e">
        <f t="shared" si="11"/>
        <v>#DIV/0!</v>
      </c>
    </row>
    <row r="33" spans="1:37" x14ac:dyDescent="0.35">
      <c r="A33" s="246">
        <f>D.SISWA!A33</f>
        <v>28</v>
      </c>
      <c r="B33" s="214">
        <f>D.SISWA!B126</f>
        <v>0</v>
      </c>
      <c r="C33" s="214">
        <f>D.SISWA!C126</f>
        <v>0</v>
      </c>
      <c r="D33" s="217">
        <f>D.SISWA!D126</f>
        <v>0</v>
      </c>
      <c r="E33" s="246"/>
      <c r="F33" s="247" t="str">
        <f t="shared" si="0"/>
        <v>60</v>
      </c>
      <c r="G33" s="246"/>
      <c r="H33" s="217"/>
      <c r="I33" s="251" t="e">
        <f t="shared" si="1"/>
        <v>#DIV/0!</v>
      </c>
      <c r="J33" s="254"/>
      <c r="K33" s="304"/>
      <c r="L33" s="179"/>
      <c r="M33" s="251" t="e">
        <f t="shared" si="2"/>
        <v>#DIV/0!</v>
      </c>
      <c r="N33" s="254"/>
      <c r="O33" s="179"/>
      <c r="P33" s="251" t="e">
        <f t="shared" si="3"/>
        <v>#DIV/0!</v>
      </c>
      <c r="Q33" s="254"/>
      <c r="R33" s="179"/>
      <c r="S33" s="251" t="e">
        <f t="shared" si="12"/>
        <v>#DIV/0!</v>
      </c>
      <c r="T33" s="269" t="e">
        <f t="shared" si="5"/>
        <v>#DIV/0!</v>
      </c>
      <c r="V33" s="263">
        <v>1</v>
      </c>
      <c r="W33" s="247" t="str">
        <f t="shared" si="6"/>
        <v>60</v>
      </c>
      <c r="X33" s="246"/>
      <c r="Y33" s="217"/>
      <c r="Z33" s="251" t="e">
        <f t="shared" si="7"/>
        <v>#DIV/0!</v>
      </c>
      <c r="AA33" s="254"/>
      <c r="AB33" s="304"/>
      <c r="AC33" s="179"/>
      <c r="AD33" s="251" t="e">
        <f t="shared" si="8"/>
        <v>#DIV/0!</v>
      </c>
      <c r="AE33" s="254"/>
      <c r="AF33" s="179"/>
      <c r="AG33" s="251" t="e">
        <f t="shared" si="9"/>
        <v>#DIV/0!</v>
      </c>
      <c r="AH33" s="254"/>
      <c r="AI33" s="179"/>
      <c r="AJ33" s="251" t="e">
        <f t="shared" si="10"/>
        <v>#DIV/0!</v>
      </c>
      <c r="AK33" s="269" t="e">
        <f t="shared" si="11"/>
        <v>#DIV/0!</v>
      </c>
    </row>
    <row r="34" spans="1:37" x14ac:dyDescent="0.35">
      <c r="A34" s="246">
        <f>D.SISWA!A34</f>
        <v>29</v>
      </c>
      <c r="B34" s="214">
        <f>D.SISWA!B127</f>
        <v>0</v>
      </c>
      <c r="C34" s="214">
        <f>D.SISWA!C127</f>
        <v>0</v>
      </c>
      <c r="D34" s="217">
        <f>D.SISWA!D127</f>
        <v>0</v>
      </c>
      <c r="E34" s="246"/>
      <c r="F34" s="247" t="str">
        <f t="shared" si="0"/>
        <v>60</v>
      </c>
      <c r="G34" s="246"/>
      <c r="H34" s="217"/>
      <c r="I34" s="251" t="e">
        <f t="shared" si="1"/>
        <v>#DIV/0!</v>
      </c>
      <c r="J34" s="254"/>
      <c r="K34" s="304"/>
      <c r="L34" s="179"/>
      <c r="M34" s="251" t="e">
        <f t="shared" si="2"/>
        <v>#DIV/0!</v>
      </c>
      <c r="N34" s="254"/>
      <c r="O34" s="179"/>
      <c r="P34" s="251" t="e">
        <f t="shared" si="3"/>
        <v>#DIV/0!</v>
      </c>
      <c r="Q34" s="254"/>
      <c r="R34" s="179"/>
      <c r="S34" s="251" t="e">
        <f t="shared" si="12"/>
        <v>#DIV/0!</v>
      </c>
      <c r="T34" s="269" t="e">
        <f t="shared" si="5"/>
        <v>#DIV/0!</v>
      </c>
      <c r="V34" s="263">
        <v>1</v>
      </c>
      <c r="W34" s="247" t="str">
        <f t="shared" si="6"/>
        <v>60</v>
      </c>
      <c r="X34" s="246"/>
      <c r="Y34" s="217"/>
      <c r="Z34" s="251" t="e">
        <f t="shared" si="7"/>
        <v>#DIV/0!</v>
      </c>
      <c r="AA34" s="254"/>
      <c r="AB34" s="304"/>
      <c r="AC34" s="179"/>
      <c r="AD34" s="251" t="e">
        <f t="shared" si="8"/>
        <v>#DIV/0!</v>
      </c>
      <c r="AE34" s="254"/>
      <c r="AF34" s="179"/>
      <c r="AG34" s="251" t="e">
        <f t="shared" si="9"/>
        <v>#DIV/0!</v>
      </c>
      <c r="AH34" s="254"/>
      <c r="AI34" s="179"/>
      <c r="AJ34" s="251" t="e">
        <f t="shared" si="10"/>
        <v>#DIV/0!</v>
      </c>
      <c r="AK34" s="269" t="e">
        <f t="shared" si="11"/>
        <v>#DIV/0!</v>
      </c>
    </row>
    <row r="35" spans="1:37" x14ac:dyDescent="0.35">
      <c r="A35" s="246">
        <f>D.SISWA!A35</f>
        <v>30</v>
      </c>
      <c r="B35" s="214">
        <f>D.SISWA!B128</f>
        <v>0</v>
      </c>
      <c r="C35" s="214">
        <f>D.SISWA!C128</f>
        <v>0</v>
      </c>
      <c r="D35" s="217">
        <f>D.SISWA!D128</f>
        <v>0</v>
      </c>
      <c r="E35" s="246"/>
      <c r="F35" s="247" t="str">
        <f t="shared" si="0"/>
        <v>60</v>
      </c>
      <c r="G35" s="246"/>
      <c r="H35" s="217"/>
      <c r="I35" s="251" t="e">
        <f t="shared" si="1"/>
        <v>#DIV/0!</v>
      </c>
      <c r="J35" s="254"/>
      <c r="K35" s="304"/>
      <c r="L35" s="179"/>
      <c r="M35" s="251" t="e">
        <f t="shared" si="2"/>
        <v>#DIV/0!</v>
      </c>
      <c r="N35" s="254"/>
      <c r="O35" s="179"/>
      <c r="P35" s="251" t="e">
        <f t="shared" si="3"/>
        <v>#DIV/0!</v>
      </c>
      <c r="Q35" s="254"/>
      <c r="R35" s="179"/>
      <c r="S35" s="251" t="e">
        <f t="shared" si="12"/>
        <v>#DIV/0!</v>
      </c>
      <c r="T35" s="269" t="e">
        <f t="shared" si="5"/>
        <v>#DIV/0!</v>
      </c>
      <c r="V35" s="263">
        <v>1</v>
      </c>
      <c r="W35" s="247" t="str">
        <f t="shared" si="6"/>
        <v>60</v>
      </c>
      <c r="X35" s="246"/>
      <c r="Y35" s="217"/>
      <c r="Z35" s="251" t="e">
        <f t="shared" si="7"/>
        <v>#DIV/0!</v>
      </c>
      <c r="AA35" s="254"/>
      <c r="AB35" s="304"/>
      <c r="AC35" s="179"/>
      <c r="AD35" s="251" t="e">
        <f t="shared" si="8"/>
        <v>#DIV/0!</v>
      </c>
      <c r="AE35" s="254"/>
      <c r="AF35" s="179"/>
      <c r="AG35" s="251" t="e">
        <f t="shared" si="9"/>
        <v>#DIV/0!</v>
      </c>
      <c r="AH35" s="254"/>
      <c r="AI35" s="179"/>
      <c r="AJ35" s="251" t="e">
        <f t="shared" si="10"/>
        <v>#DIV/0!</v>
      </c>
      <c r="AK35" s="269" t="e">
        <f t="shared" si="11"/>
        <v>#DIV/0!</v>
      </c>
    </row>
    <row r="36" spans="1:37" x14ac:dyDescent="0.35">
      <c r="A36" s="246">
        <f>D.SISWA!A36</f>
        <v>31</v>
      </c>
      <c r="B36" s="214">
        <f>D.SISWA!B129</f>
        <v>0</v>
      </c>
      <c r="C36" s="214">
        <f>D.SISWA!C129</f>
        <v>0</v>
      </c>
      <c r="D36" s="217">
        <f>D.SISWA!D129</f>
        <v>0</v>
      </c>
      <c r="E36" s="246"/>
      <c r="F36" s="247" t="str">
        <f t="shared" si="0"/>
        <v>60</v>
      </c>
      <c r="G36" s="246"/>
      <c r="H36" s="217"/>
      <c r="I36" s="251" t="e">
        <f t="shared" si="1"/>
        <v>#DIV/0!</v>
      </c>
      <c r="J36" s="254"/>
      <c r="K36" s="304"/>
      <c r="L36" s="179"/>
      <c r="M36" s="251" t="e">
        <f t="shared" si="2"/>
        <v>#DIV/0!</v>
      </c>
      <c r="N36" s="254"/>
      <c r="O36" s="179"/>
      <c r="P36" s="251" t="e">
        <f t="shared" si="3"/>
        <v>#DIV/0!</v>
      </c>
      <c r="Q36" s="254"/>
      <c r="R36" s="179"/>
      <c r="S36" s="251" t="e">
        <f t="shared" si="12"/>
        <v>#DIV/0!</v>
      </c>
      <c r="T36" s="269" t="e">
        <f t="shared" si="5"/>
        <v>#DIV/0!</v>
      </c>
      <c r="V36" s="263">
        <v>1</v>
      </c>
      <c r="W36" s="247" t="str">
        <f t="shared" si="6"/>
        <v>60</v>
      </c>
      <c r="X36" s="246"/>
      <c r="Y36" s="217"/>
      <c r="Z36" s="251" t="e">
        <f t="shared" si="7"/>
        <v>#DIV/0!</v>
      </c>
      <c r="AA36" s="254"/>
      <c r="AB36" s="304"/>
      <c r="AC36" s="179"/>
      <c r="AD36" s="251" t="e">
        <f t="shared" si="8"/>
        <v>#DIV/0!</v>
      </c>
      <c r="AE36" s="254"/>
      <c r="AF36" s="179"/>
      <c r="AG36" s="251" t="e">
        <f t="shared" si="9"/>
        <v>#DIV/0!</v>
      </c>
      <c r="AH36" s="254"/>
      <c r="AI36" s="179"/>
      <c r="AJ36" s="251" t="e">
        <f t="shared" si="10"/>
        <v>#DIV/0!</v>
      </c>
      <c r="AK36" s="269" t="e">
        <f t="shared" si="11"/>
        <v>#DIV/0!</v>
      </c>
    </row>
    <row r="37" spans="1:37" x14ac:dyDescent="0.35">
      <c r="A37" s="246">
        <f>D.SISWA!A37</f>
        <v>32</v>
      </c>
      <c r="B37" s="214">
        <f>D.SISWA!B130</f>
        <v>0</v>
      </c>
      <c r="C37" s="214">
        <f>D.SISWA!C130</f>
        <v>0</v>
      </c>
      <c r="D37" s="217">
        <f>D.SISWA!D130</f>
        <v>0</v>
      </c>
      <c r="E37" s="246"/>
      <c r="F37" s="247" t="str">
        <f t="shared" si="0"/>
        <v>60</v>
      </c>
      <c r="G37" s="246"/>
      <c r="H37" s="217"/>
      <c r="I37" s="251" t="e">
        <f t="shared" si="1"/>
        <v>#DIV/0!</v>
      </c>
      <c r="J37" s="254"/>
      <c r="K37" s="304"/>
      <c r="L37" s="179"/>
      <c r="M37" s="251" t="e">
        <f t="shared" si="2"/>
        <v>#DIV/0!</v>
      </c>
      <c r="N37" s="254"/>
      <c r="O37" s="179"/>
      <c r="P37" s="251" t="e">
        <f t="shared" si="3"/>
        <v>#DIV/0!</v>
      </c>
      <c r="Q37" s="254"/>
      <c r="R37" s="179"/>
      <c r="S37" s="251" t="e">
        <f t="shared" si="12"/>
        <v>#DIV/0!</v>
      </c>
      <c r="T37" s="269" t="e">
        <f t="shared" si="5"/>
        <v>#DIV/0!</v>
      </c>
      <c r="V37" s="263">
        <v>1</v>
      </c>
      <c r="W37" s="247" t="str">
        <f t="shared" si="6"/>
        <v>60</v>
      </c>
      <c r="X37" s="246"/>
      <c r="Y37" s="217"/>
      <c r="Z37" s="251" t="e">
        <f t="shared" si="7"/>
        <v>#DIV/0!</v>
      </c>
      <c r="AA37" s="254"/>
      <c r="AB37" s="304"/>
      <c r="AC37" s="179"/>
      <c r="AD37" s="251" t="e">
        <f t="shared" si="8"/>
        <v>#DIV/0!</v>
      </c>
      <c r="AE37" s="254"/>
      <c r="AF37" s="179"/>
      <c r="AG37" s="251" t="e">
        <f t="shared" si="9"/>
        <v>#DIV/0!</v>
      </c>
      <c r="AH37" s="254"/>
      <c r="AI37" s="179"/>
      <c r="AJ37" s="251" t="e">
        <f t="shared" si="10"/>
        <v>#DIV/0!</v>
      </c>
      <c r="AK37" s="269" t="e">
        <f t="shared" si="11"/>
        <v>#DIV/0!</v>
      </c>
    </row>
    <row r="38" spans="1:37" x14ac:dyDescent="0.35">
      <c r="A38" s="246">
        <f>D.SISWA!A38</f>
        <v>33</v>
      </c>
      <c r="B38" s="214">
        <f>D.SISWA!B131</f>
        <v>0</v>
      </c>
      <c r="C38" s="214">
        <f>D.SISWA!C131</f>
        <v>0</v>
      </c>
      <c r="D38" s="217">
        <f>D.SISWA!D131</f>
        <v>0</v>
      </c>
      <c r="E38" s="246"/>
      <c r="F38" s="247" t="str">
        <f t="shared" si="0"/>
        <v>60</v>
      </c>
      <c r="G38" s="246"/>
      <c r="H38" s="217"/>
      <c r="I38" s="251" t="e">
        <f t="shared" si="1"/>
        <v>#DIV/0!</v>
      </c>
      <c r="J38" s="254"/>
      <c r="K38" s="304"/>
      <c r="L38" s="179"/>
      <c r="M38" s="251" t="e">
        <f t="shared" si="2"/>
        <v>#DIV/0!</v>
      </c>
      <c r="N38" s="254"/>
      <c r="O38" s="179"/>
      <c r="P38" s="251" t="e">
        <f t="shared" si="3"/>
        <v>#DIV/0!</v>
      </c>
      <c r="Q38" s="254"/>
      <c r="R38" s="179"/>
      <c r="S38" s="251" t="e">
        <f t="shared" si="12"/>
        <v>#DIV/0!</v>
      </c>
      <c r="T38" s="269" t="e">
        <f t="shared" si="5"/>
        <v>#DIV/0!</v>
      </c>
      <c r="V38" s="263">
        <v>1</v>
      </c>
      <c r="W38" s="247" t="str">
        <f t="shared" si="6"/>
        <v>60</v>
      </c>
      <c r="X38" s="246"/>
      <c r="Y38" s="217"/>
      <c r="Z38" s="251" t="e">
        <f t="shared" si="7"/>
        <v>#DIV/0!</v>
      </c>
      <c r="AA38" s="254"/>
      <c r="AB38" s="304"/>
      <c r="AC38" s="179"/>
      <c r="AD38" s="251" t="e">
        <f t="shared" si="8"/>
        <v>#DIV/0!</v>
      </c>
      <c r="AE38" s="254"/>
      <c r="AF38" s="179"/>
      <c r="AG38" s="251" t="e">
        <f t="shared" si="9"/>
        <v>#DIV/0!</v>
      </c>
      <c r="AH38" s="254"/>
      <c r="AI38" s="179"/>
      <c r="AJ38" s="251" t="e">
        <f t="shared" si="10"/>
        <v>#DIV/0!</v>
      </c>
      <c r="AK38" s="269" t="e">
        <f t="shared" si="11"/>
        <v>#DIV/0!</v>
      </c>
    </row>
    <row r="39" spans="1:37" x14ac:dyDescent="0.35">
      <c r="A39" s="246">
        <f>D.SISWA!A39</f>
        <v>34</v>
      </c>
      <c r="B39" s="214">
        <f>D.SISWA!B132</f>
        <v>0</v>
      </c>
      <c r="C39" s="214">
        <f>D.SISWA!C132</f>
        <v>0</v>
      </c>
      <c r="D39" s="217">
        <f>D.SISWA!D132</f>
        <v>0</v>
      </c>
      <c r="E39" s="246"/>
      <c r="F39" s="247" t="str">
        <f t="shared" si="0"/>
        <v>60</v>
      </c>
      <c r="G39" s="246"/>
      <c r="H39" s="217"/>
      <c r="I39" s="251" t="e">
        <f t="shared" si="1"/>
        <v>#DIV/0!</v>
      </c>
      <c r="J39" s="254"/>
      <c r="K39" s="304"/>
      <c r="L39" s="179"/>
      <c r="M39" s="251" t="e">
        <f t="shared" si="2"/>
        <v>#DIV/0!</v>
      </c>
      <c r="N39" s="254"/>
      <c r="O39" s="179"/>
      <c r="P39" s="251" t="e">
        <f t="shared" si="3"/>
        <v>#DIV/0!</v>
      </c>
      <c r="Q39" s="254"/>
      <c r="R39" s="179"/>
      <c r="S39" s="251" t="e">
        <f t="shared" si="12"/>
        <v>#DIV/0!</v>
      </c>
      <c r="T39" s="269" t="e">
        <f t="shared" si="5"/>
        <v>#DIV/0!</v>
      </c>
      <c r="V39" s="263">
        <v>1</v>
      </c>
      <c r="W39" s="247" t="str">
        <f t="shared" si="6"/>
        <v>60</v>
      </c>
      <c r="X39" s="246"/>
      <c r="Y39" s="217"/>
      <c r="Z39" s="251" t="e">
        <f t="shared" si="7"/>
        <v>#DIV/0!</v>
      </c>
      <c r="AA39" s="254"/>
      <c r="AB39" s="304"/>
      <c r="AC39" s="179"/>
      <c r="AD39" s="251" t="e">
        <f t="shared" si="8"/>
        <v>#DIV/0!</v>
      </c>
      <c r="AE39" s="254"/>
      <c r="AF39" s="179"/>
      <c r="AG39" s="251" t="e">
        <f t="shared" si="9"/>
        <v>#DIV/0!</v>
      </c>
      <c r="AH39" s="254"/>
      <c r="AI39" s="179"/>
      <c r="AJ39" s="251" t="e">
        <f t="shared" si="10"/>
        <v>#DIV/0!</v>
      </c>
      <c r="AK39" s="269" t="e">
        <f t="shared" si="11"/>
        <v>#DIV/0!</v>
      </c>
    </row>
    <row r="40" spans="1:37" x14ac:dyDescent="0.35">
      <c r="A40" s="246">
        <f>D.SISWA!A40</f>
        <v>35</v>
      </c>
      <c r="B40" s="214">
        <f>D.SISWA!B133</f>
        <v>0</v>
      </c>
      <c r="C40" s="214">
        <f>D.SISWA!C133</f>
        <v>0</v>
      </c>
      <c r="D40" s="217">
        <f>D.SISWA!D133</f>
        <v>0</v>
      </c>
      <c r="E40" s="246"/>
      <c r="F40" s="247" t="str">
        <f t="shared" si="0"/>
        <v>60</v>
      </c>
      <c r="G40" s="246"/>
      <c r="H40" s="217"/>
      <c r="I40" s="251" t="e">
        <f t="shared" si="1"/>
        <v>#DIV/0!</v>
      </c>
      <c r="J40" s="254"/>
      <c r="K40" s="304"/>
      <c r="L40" s="179"/>
      <c r="M40" s="251" t="e">
        <f t="shared" si="2"/>
        <v>#DIV/0!</v>
      </c>
      <c r="N40" s="254"/>
      <c r="O40" s="179"/>
      <c r="P40" s="251" t="e">
        <f t="shared" si="3"/>
        <v>#DIV/0!</v>
      </c>
      <c r="Q40" s="254"/>
      <c r="R40" s="179"/>
      <c r="S40" s="251" t="e">
        <f t="shared" si="12"/>
        <v>#DIV/0!</v>
      </c>
      <c r="T40" s="269" t="e">
        <f t="shared" si="5"/>
        <v>#DIV/0!</v>
      </c>
      <c r="V40" s="263">
        <v>1</v>
      </c>
      <c r="W40" s="247" t="str">
        <f t="shared" si="6"/>
        <v>60</v>
      </c>
      <c r="X40" s="246"/>
      <c r="Y40" s="217"/>
      <c r="Z40" s="251" t="e">
        <f t="shared" si="7"/>
        <v>#DIV/0!</v>
      </c>
      <c r="AA40" s="254"/>
      <c r="AB40" s="304"/>
      <c r="AC40" s="179"/>
      <c r="AD40" s="251" t="e">
        <f t="shared" si="8"/>
        <v>#DIV/0!</v>
      </c>
      <c r="AE40" s="254"/>
      <c r="AF40" s="179"/>
      <c r="AG40" s="251" t="e">
        <f t="shared" si="9"/>
        <v>#DIV/0!</v>
      </c>
      <c r="AH40" s="254"/>
      <c r="AI40" s="179"/>
      <c r="AJ40" s="251" t="e">
        <f t="shared" si="10"/>
        <v>#DIV/0!</v>
      </c>
      <c r="AK40" s="269" t="e">
        <f t="shared" si="11"/>
        <v>#DIV/0!</v>
      </c>
    </row>
    <row r="41" spans="1:37" x14ac:dyDescent="0.35">
      <c r="A41" s="246">
        <f>D.SISWA!A41</f>
        <v>36</v>
      </c>
      <c r="B41" s="214">
        <f>D.SISWA!B134</f>
        <v>0</v>
      </c>
      <c r="C41" s="214">
        <f>D.SISWA!C134</f>
        <v>0</v>
      </c>
      <c r="D41" s="217">
        <f>D.SISWA!D134</f>
        <v>0</v>
      </c>
      <c r="E41" s="246"/>
      <c r="F41" s="247" t="str">
        <f t="shared" si="0"/>
        <v>60</v>
      </c>
      <c r="G41" s="246"/>
      <c r="H41" s="217"/>
      <c r="I41" s="251" t="e">
        <f t="shared" si="1"/>
        <v>#DIV/0!</v>
      </c>
      <c r="J41" s="254"/>
      <c r="K41" s="304"/>
      <c r="L41" s="179"/>
      <c r="M41" s="251" t="e">
        <f t="shared" si="2"/>
        <v>#DIV/0!</v>
      </c>
      <c r="N41" s="254"/>
      <c r="O41" s="179"/>
      <c r="P41" s="251" t="e">
        <f t="shared" si="3"/>
        <v>#DIV/0!</v>
      </c>
      <c r="Q41" s="254"/>
      <c r="R41" s="179"/>
      <c r="S41" s="251" t="e">
        <f t="shared" si="12"/>
        <v>#DIV/0!</v>
      </c>
      <c r="T41" s="269" t="e">
        <f t="shared" si="5"/>
        <v>#DIV/0!</v>
      </c>
      <c r="V41" s="263">
        <v>1</v>
      </c>
      <c r="W41" s="247" t="str">
        <f t="shared" si="6"/>
        <v>60</v>
      </c>
      <c r="X41" s="246"/>
      <c r="Y41" s="217"/>
      <c r="Z41" s="251" t="e">
        <f t="shared" si="7"/>
        <v>#DIV/0!</v>
      </c>
      <c r="AA41" s="254"/>
      <c r="AB41" s="304"/>
      <c r="AC41" s="179"/>
      <c r="AD41" s="251" t="e">
        <f t="shared" si="8"/>
        <v>#DIV/0!</v>
      </c>
      <c r="AE41" s="254"/>
      <c r="AF41" s="179"/>
      <c r="AG41" s="251" t="e">
        <f t="shared" si="9"/>
        <v>#DIV/0!</v>
      </c>
      <c r="AH41" s="254"/>
      <c r="AI41" s="179"/>
      <c r="AJ41" s="251" t="e">
        <f t="shared" si="10"/>
        <v>#DIV/0!</v>
      </c>
      <c r="AK41" s="269" t="e">
        <f t="shared" si="11"/>
        <v>#DIV/0!</v>
      </c>
    </row>
    <row r="42" spans="1:37" x14ac:dyDescent="0.35">
      <c r="A42" s="246">
        <f>D.SISWA!A42</f>
        <v>37</v>
      </c>
      <c r="B42" s="214">
        <f>D.SISWA!B135</f>
        <v>0</v>
      </c>
      <c r="C42" s="214">
        <f>D.SISWA!C135</f>
        <v>0</v>
      </c>
      <c r="D42" s="217">
        <f>D.SISWA!D135</f>
        <v>0</v>
      </c>
      <c r="E42" s="246"/>
      <c r="F42" s="247" t="str">
        <f t="shared" si="0"/>
        <v>60</v>
      </c>
      <c r="G42" s="246"/>
      <c r="H42" s="217"/>
      <c r="I42" s="251" t="e">
        <f t="shared" si="1"/>
        <v>#DIV/0!</v>
      </c>
      <c r="J42" s="254"/>
      <c r="K42" s="304"/>
      <c r="L42" s="179"/>
      <c r="M42" s="251" t="e">
        <f t="shared" si="2"/>
        <v>#DIV/0!</v>
      </c>
      <c r="N42" s="254"/>
      <c r="O42" s="179"/>
      <c r="P42" s="251" t="e">
        <f t="shared" si="3"/>
        <v>#DIV/0!</v>
      </c>
      <c r="Q42" s="254"/>
      <c r="R42" s="179"/>
      <c r="S42" s="251" t="e">
        <f t="shared" si="12"/>
        <v>#DIV/0!</v>
      </c>
      <c r="T42" s="269" t="e">
        <f t="shared" si="5"/>
        <v>#DIV/0!</v>
      </c>
      <c r="V42" s="263">
        <v>1</v>
      </c>
      <c r="W42" s="247" t="str">
        <f t="shared" si="6"/>
        <v>60</v>
      </c>
      <c r="X42" s="246"/>
      <c r="Y42" s="217"/>
      <c r="Z42" s="251" t="e">
        <f t="shared" si="7"/>
        <v>#DIV/0!</v>
      </c>
      <c r="AA42" s="254"/>
      <c r="AB42" s="304"/>
      <c r="AC42" s="179"/>
      <c r="AD42" s="251" t="e">
        <f t="shared" si="8"/>
        <v>#DIV/0!</v>
      </c>
      <c r="AE42" s="254"/>
      <c r="AF42" s="179"/>
      <c r="AG42" s="251" t="e">
        <f t="shared" si="9"/>
        <v>#DIV/0!</v>
      </c>
      <c r="AH42" s="254"/>
      <c r="AI42" s="179"/>
      <c r="AJ42" s="251" t="e">
        <f t="shared" si="10"/>
        <v>#DIV/0!</v>
      </c>
      <c r="AK42" s="269" t="e">
        <f t="shared" si="11"/>
        <v>#DIV/0!</v>
      </c>
    </row>
    <row r="43" spans="1:37" x14ac:dyDescent="0.35">
      <c r="A43" s="246">
        <f>D.SISWA!A43</f>
        <v>38</v>
      </c>
      <c r="B43" s="214">
        <f>D.SISWA!B136</f>
        <v>0</v>
      </c>
      <c r="C43" s="214">
        <f>D.SISWA!C136</f>
        <v>0</v>
      </c>
      <c r="D43" s="217">
        <f>D.SISWA!D136</f>
        <v>0</v>
      </c>
      <c r="E43" s="246"/>
      <c r="F43" s="247" t="str">
        <f t="shared" si="0"/>
        <v>60</v>
      </c>
      <c r="G43" s="246"/>
      <c r="H43" s="217"/>
      <c r="I43" s="251" t="e">
        <f t="shared" si="1"/>
        <v>#DIV/0!</v>
      </c>
      <c r="J43" s="254"/>
      <c r="K43" s="304"/>
      <c r="L43" s="179"/>
      <c r="M43" s="251" t="e">
        <f t="shared" si="2"/>
        <v>#DIV/0!</v>
      </c>
      <c r="N43" s="254"/>
      <c r="O43" s="179"/>
      <c r="P43" s="251" t="e">
        <f t="shared" si="3"/>
        <v>#DIV/0!</v>
      </c>
      <c r="Q43" s="254"/>
      <c r="R43" s="179"/>
      <c r="S43" s="251" t="e">
        <f t="shared" si="12"/>
        <v>#DIV/0!</v>
      </c>
      <c r="T43" s="269" t="e">
        <f t="shared" si="5"/>
        <v>#DIV/0!</v>
      </c>
      <c r="V43" s="263">
        <v>1</v>
      </c>
      <c r="W43" s="247" t="str">
        <f t="shared" si="6"/>
        <v>60</v>
      </c>
      <c r="X43" s="246"/>
      <c r="Y43" s="217"/>
      <c r="Z43" s="251" t="e">
        <f t="shared" si="7"/>
        <v>#DIV/0!</v>
      </c>
      <c r="AA43" s="254"/>
      <c r="AB43" s="304"/>
      <c r="AC43" s="179"/>
      <c r="AD43" s="251" t="e">
        <f t="shared" si="8"/>
        <v>#DIV/0!</v>
      </c>
      <c r="AE43" s="254"/>
      <c r="AF43" s="179"/>
      <c r="AG43" s="251" t="e">
        <f t="shared" si="9"/>
        <v>#DIV/0!</v>
      </c>
      <c r="AH43" s="254"/>
      <c r="AI43" s="179"/>
      <c r="AJ43" s="251" t="e">
        <f t="shared" si="10"/>
        <v>#DIV/0!</v>
      </c>
      <c r="AK43" s="269" t="e">
        <f t="shared" si="11"/>
        <v>#DIV/0!</v>
      </c>
    </row>
    <row r="44" spans="1:37" x14ac:dyDescent="0.35">
      <c r="A44" s="246">
        <f>D.SISWA!A44</f>
        <v>39</v>
      </c>
      <c r="B44" s="214">
        <f>D.SISWA!B137</f>
        <v>0</v>
      </c>
      <c r="C44" s="214">
        <f>D.SISWA!C137</f>
        <v>0</v>
      </c>
      <c r="D44" s="217">
        <f>D.SISWA!D137</f>
        <v>0</v>
      </c>
      <c r="E44" s="246"/>
      <c r="F44" s="247" t="str">
        <f t="shared" si="0"/>
        <v>60</v>
      </c>
      <c r="G44" s="246"/>
      <c r="H44" s="217"/>
      <c r="I44" s="251" t="e">
        <f t="shared" si="1"/>
        <v>#DIV/0!</v>
      </c>
      <c r="J44" s="254"/>
      <c r="K44" s="304"/>
      <c r="L44" s="179"/>
      <c r="M44" s="251" t="e">
        <f t="shared" si="2"/>
        <v>#DIV/0!</v>
      </c>
      <c r="N44" s="254"/>
      <c r="O44" s="179"/>
      <c r="P44" s="251" t="e">
        <f t="shared" si="3"/>
        <v>#DIV/0!</v>
      </c>
      <c r="Q44" s="254"/>
      <c r="R44" s="179"/>
      <c r="S44" s="251" t="e">
        <f t="shared" si="12"/>
        <v>#DIV/0!</v>
      </c>
      <c r="T44" s="269" t="e">
        <f t="shared" si="5"/>
        <v>#DIV/0!</v>
      </c>
      <c r="V44" s="263">
        <v>1</v>
      </c>
      <c r="W44" s="247" t="str">
        <f t="shared" si="6"/>
        <v>60</v>
      </c>
      <c r="X44" s="246"/>
      <c r="Y44" s="217"/>
      <c r="Z44" s="251" t="e">
        <f t="shared" si="7"/>
        <v>#DIV/0!</v>
      </c>
      <c r="AA44" s="254"/>
      <c r="AB44" s="304"/>
      <c r="AC44" s="179"/>
      <c r="AD44" s="251" t="e">
        <f t="shared" si="8"/>
        <v>#DIV/0!</v>
      </c>
      <c r="AE44" s="254"/>
      <c r="AF44" s="179"/>
      <c r="AG44" s="251" t="e">
        <f t="shared" si="9"/>
        <v>#DIV/0!</v>
      </c>
      <c r="AH44" s="254"/>
      <c r="AI44" s="179"/>
      <c r="AJ44" s="251" t="e">
        <f t="shared" si="10"/>
        <v>#DIV/0!</v>
      </c>
      <c r="AK44" s="269" t="e">
        <f t="shared" si="11"/>
        <v>#DIV/0!</v>
      </c>
    </row>
    <row r="45" spans="1:37" x14ac:dyDescent="0.35">
      <c r="A45" s="246">
        <f>D.SISWA!A45</f>
        <v>40</v>
      </c>
      <c r="B45" s="214">
        <f>D.SISWA!B138</f>
        <v>0</v>
      </c>
      <c r="C45" s="214">
        <f>D.SISWA!C138</f>
        <v>0</v>
      </c>
      <c r="D45" s="217">
        <f>D.SISWA!D138</f>
        <v>0</v>
      </c>
      <c r="E45" s="246"/>
      <c r="F45" s="247" t="str">
        <f t="shared" si="0"/>
        <v>60</v>
      </c>
      <c r="G45" s="246"/>
      <c r="H45" s="217"/>
      <c r="I45" s="251" t="e">
        <f t="shared" si="1"/>
        <v>#DIV/0!</v>
      </c>
      <c r="J45" s="254"/>
      <c r="K45" s="304"/>
      <c r="L45" s="179"/>
      <c r="M45" s="251" t="e">
        <f t="shared" si="2"/>
        <v>#DIV/0!</v>
      </c>
      <c r="N45" s="254"/>
      <c r="O45" s="179"/>
      <c r="P45" s="251" t="e">
        <f t="shared" si="3"/>
        <v>#DIV/0!</v>
      </c>
      <c r="Q45" s="254"/>
      <c r="R45" s="179"/>
      <c r="S45" s="251" t="e">
        <f t="shared" si="12"/>
        <v>#DIV/0!</v>
      </c>
      <c r="T45" s="269" t="e">
        <f t="shared" si="5"/>
        <v>#DIV/0!</v>
      </c>
      <c r="V45" s="263">
        <v>1</v>
      </c>
      <c r="W45" s="247" t="str">
        <f t="shared" si="6"/>
        <v>60</v>
      </c>
      <c r="X45" s="246"/>
      <c r="Y45" s="217"/>
      <c r="Z45" s="251" t="e">
        <f t="shared" si="7"/>
        <v>#DIV/0!</v>
      </c>
      <c r="AA45" s="254"/>
      <c r="AB45" s="304"/>
      <c r="AC45" s="179"/>
      <c r="AD45" s="251" t="e">
        <f t="shared" si="8"/>
        <v>#DIV/0!</v>
      </c>
      <c r="AE45" s="254"/>
      <c r="AF45" s="179"/>
      <c r="AG45" s="251" t="e">
        <f t="shared" si="9"/>
        <v>#DIV/0!</v>
      </c>
      <c r="AH45" s="254"/>
      <c r="AI45" s="179"/>
      <c r="AJ45" s="251" t="e">
        <f t="shared" si="10"/>
        <v>#DIV/0!</v>
      </c>
      <c r="AK45" s="269" t="e">
        <f t="shared" si="11"/>
        <v>#DIV/0!</v>
      </c>
    </row>
    <row r="46" spans="1:37" x14ac:dyDescent="0.35">
      <c r="A46" s="246">
        <f>D.SISWA!A46</f>
        <v>41</v>
      </c>
      <c r="B46" s="214">
        <f>D.SISWA!B139</f>
        <v>0</v>
      </c>
      <c r="C46" s="214">
        <f>D.SISWA!C139</f>
        <v>0</v>
      </c>
      <c r="D46" s="217">
        <f>D.SISWA!D139</f>
        <v>0</v>
      </c>
      <c r="E46" s="246"/>
      <c r="F46" s="247" t="str">
        <f t="shared" si="0"/>
        <v>60</v>
      </c>
      <c r="G46" s="246"/>
      <c r="H46" s="217"/>
      <c r="I46" s="251" t="e">
        <f t="shared" si="1"/>
        <v>#DIV/0!</v>
      </c>
      <c r="J46" s="254"/>
      <c r="K46" s="304"/>
      <c r="L46" s="179"/>
      <c r="M46" s="251" t="e">
        <f t="shared" si="2"/>
        <v>#DIV/0!</v>
      </c>
      <c r="N46" s="254"/>
      <c r="O46" s="179"/>
      <c r="P46" s="251" t="e">
        <f t="shared" si="3"/>
        <v>#DIV/0!</v>
      </c>
      <c r="Q46" s="254"/>
      <c r="R46" s="179"/>
      <c r="S46" s="251" t="e">
        <f t="shared" si="12"/>
        <v>#DIV/0!</v>
      </c>
      <c r="T46" s="269" t="e">
        <f t="shared" si="5"/>
        <v>#DIV/0!</v>
      </c>
      <c r="V46" s="263">
        <v>1</v>
      </c>
      <c r="W46" s="247" t="str">
        <f t="shared" si="6"/>
        <v>60</v>
      </c>
      <c r="X46" s="246"/>
      <c r="Y46" s="217"/>
      <c r="Z46" s="251" t="e">
        <f t="shared" si="7"/>
        <v>#DIV/0!</v>
      </c>
      <c r="AA46" s="254"/>
      <c r="AB46" s="304"/>
      <c r="AC46" s="179"/>
      <c r="AD46" s="251" t="e">
        <f t="shared" si="8"/>
        <v>#DIV/0!</v>
      </c>
      <c r="AE46" s="254"/>
      <c r="AF46" s="179"/>
      <c r="AG46" s="251" t="e">
        <f t="shared" si="9"/>
        <v>#DIV/0!</v>
      </c>
      <c r="AH46" s="254"/>
      <c r="AI46" s="179"/>
      <c r="AJ46" s="251" t="e">
        <f t="shared" si="10"/>
        <v>#DIV/0!</v>
      </c>
      <c r="AK46" s="269" t="e">
        <f t="shared" si="11"/>
        <v>#DIV/0!</v>
      </c>
    </row>
    <row r="47" spans="1:37" x14ac:dyDescent="0.35">
      <c r="A47" s="246">
        <f>D.SISWA!A47</f>
        <v>42</v>
      </c>
      <c r="B47" s="214">
        <f>D.SISWA!B140</f>
        <v>0</v>
      </c>
      <c r="C47" s="214">
        <f>D.SISWA!C140</f>
        <v>0</v>
      </c>
      <c r="D47" s="217">
        <f>D.SISWA!D140</f>
        <v>0</v>
      </c>
      <c r="E47" s="246"/>
      <c r="F47" s="247" t="str">
        <f t="shared" si="0"/>
        <v>60</v>
      </c>
      <c r="G47" s="246"/>
      <c r="H47" s="217"/>
      <c r="I47" s="251" t="e">
        <f t="shared" si="1"/>
        <v>#DIV/0!</v>
      </c>
      <c r="J47" s="254"/>
      <c r="K47" s="304"/>
      <c r="L47" s="179"/>
      <c r="M47" s="251" t="e">
        <f t="shared" si="2"/>
        <v>#DIV/0!</v>
      </c>
      <c r="N47" s="254"/>
      <c r="O47" s="179"/>
      <c r="P47" s="251" t="e">
        <f t="shared" si="3"/>
        <v>#DIV/0!</v>
      </c>
      <c r="Q47" s="254"/>
      <c r="R47" s="179"/>
      <c r="S47" s="251" t="e">
        <f t="shared" si="12"/>
        <v>#DIV/0!</v>
      </c>
      <c r="T47" s="269" t="e">
        <f t="shared" si="5"/>
        <v>#DIV/0!</v>
      </c>
      <c r="V47" s="263">
        <v>1</v>
      </c>
      <c r="W47" s="247" t="str">
        <f t="shared" si="6"/>
        <v>60</v>
      </c>
      <c r="X47" s="246"/>
      <c r="Y47" s="217"/>
      <c r="Z47" s="251" t="e">
        <f t="shared" si="7"/>
        <v>#DIV/0!</v>
      </c>
      <c r="AA47" s="254"/>
      <c r="AB47" s="304"/>
      <c r="AC47" s="179"/>
      <c r="AD47" s="251" t="e">
        <f t="shared" si="8"/>
        <v>#DIV/0!</v>
      </c>
      <c r="AE47" s="254"/>
      <c r="AF47" s="179"/>
      <c r="AG47" s="251" t="e">
        <f t="shared" si="9"/>
        <v>#DIV/0!</v>
      </c>
      <c r="AH47" s="254"/>
      <c r="AI47" s="179"/>
      <c r="AJ47" s="251" t="e">
        <f t="shared" si="10"/>
        <v>#DIV/0!</v>
      </c>
      <c r="AK47" s="269" t="e">
        <f t="shared" si="11"/>
        <v>#DIV/0!</v>
      </c>
    </row>
    <row r="48" spans="1:37" x14ac:dyDescent="0.35">
      <c r="A48" s="246">
        <f>D.SISWA!A48</f>
        <v>43</v>
      </c>
      <c r="B48" s="214">
        <f>D.SISWA!B141</f>
        <v>0</v>
      </c>
      <c r="C48" s="214">
        <f>D.SISWA!C141</f>
        <v>0</v>
      </c>
      <c r="D48" s="217">
        <f>D.SISWA!D141</f>
        <v>0</v>
      </c>
      <c r="E48" s="246"/>
      <c r="F48" s="247" t="str">
        <f t="shared" si="0"/>
        <v>60</v>
      </c>
      <c r="G48" s="246"/>
      <c r="H48" s="217"/>
      <c r="I48" s="251" t="e">
        <f t="shared" si="1"/>
        <v>#DIV/0!</v>
      </c>
      <c r="J48" s="254"/>
      <c r="K48" s="304"/>
      <c r="L48" s="179"/>
      <c r="M48" s="251" t="e">
        <f t="shared" si="2"/>
        <v>#DIV/0!</v>
      </c>
      <c r="N48" s="254"/>
      <c r="O48" s="179"/>
      <c r="P48" s="251" t="e">
        <f t="shared" si="3"/>
        <v>#DIV/0!</v>
      </c>
      <c r="Q48" s="254"/>
      <c r="R48" s="179"/>
      <c r="S48" s="251" t="e">
        <f t="shared" si="12"/>
        <v>#DIV/0!</v>
      </c>
      <c r="T48" s="269" t="e">
        <f t="shared" si="5"/>
        <v>#DIV/0!</v>
      </c>
      <c r="V48" s="263">
        <v>1</v>
      </c>
      <c r="W48" s="247" t="str">
        <f t="shared" si="6"/>
        <v>60</v>
      </c>
      <c r="X48" s="246"/>
      <c r="Y48" s="217"/>
      <c r="Z48" s="251" t="e">
        <f t="shared" si="7"/>
        <v>#DIV/0!</v>
      </c>
      <c r="AA48" s="254"/>
      <c r="AB48" s="304"/>
      <c r="AC48" s="179"/>
      <c r="AD48" s="251" t="e">
        <f t="shared" si="8"/>
        <v>#DIV/0!</v>
      </c>
      <c r="AE48" s="254"/>
      <c r="AF48" s="179"/>
      <c r="AG48" s="251" t="e">
        <f t="shared" si="9"/>
        <v>#DIV/0!</v>
      </c>
      <c r="AH48" s="254"/>
      <c r="AI48" s="179"/>
      <c r="AJ48" s="251" t="e">
        <f t="shared" si="10"/>
        <v>#DIV/0!</v>
      </c>
      <c r="AK48" s="269" t="e">
        <f t="shared" si="11"/>
        <v>#DIV/0!</v>
      </c>
    </row>
    <row r="49" spans="1:37" x14ac:dyDescent="0.35">
      <c r="A49" s="246">
        <f>D.SISWA!A49</f>
        <v>44</v>
      </c>
      <c r="B49" s="214">
        <f>D.SISWA!B142</f>
        <v>0</v>
      </c>
      <c r="C49" s="214">
        <f>D.SISWA!C142</f>
        <v>0</v>
      </c>
      <c r="D49" s="217">
        <f>D.SISWA!D142</f>
        <v>0</v>
      </c>
      <c r="E49" s="246"/>
      <c r="F49" s="247" t="str">
        <f t="shared" si="0"/>
        <v>60</v>
      </c>
      <c r="G49" s="246"/>
      <c r="H49" s="217"/>
      <c r="I49" s="251" t="e">
        <f t="shared" si="1"/>
        <v>#DIV/0!</v>
      </c>
      <c r="J49" s="254"/>
      <c r="K49" s="304"/>
      <c r="L49" s="179"/>
      <c r="M49" s="251" t="e">
        <f t="shared" si="2"/>
        <v>#DIV/0!</v>
      </c>
      <c r="N49" s="254"/>
      <c r="O49" s="179"/>
      <c r="P49" s="251" t="e">
        <f t="shared" si="3"/>
        <v>#DIV/0!</v>
      </c>
      <c r="Q49" s="254"/>
      <c r="R49" s="179"/>
      <c r="S49" s="251" t="e">
        <f t="shared" si="12"/>
        <v>#DIV/0!</v>
      </c>
      <c r="T49" s="269" t="e">
        <f t="shared" si="5"/>
        <v>#DIV/0!</v>
      </c>
      <c r="V49" s="263">
        <v>1</v>
      </c>
      <c r="W49" s="247" t="str">
        <f t="shared" si="6"/>
        <v>60</v>
      </c>
      <c r="X49" s="246"/>
      <c r="Y49" s="217"/>
      <c r="Z49" s="251" t="e">
        <f t="shared" si="7"/>
        <v>#DIV/0!</v>
      </c>
      <c r="AA49" s="254"/>
      <c r="AB49" s="304"/>
      <c r="AC49" s="179"/>
      <c r="AD49" s="251" t="e">
        <f t="shared" si="8"/>
        <v>#DIV/0!</v>
      </c>
      <c r="AE49" s="254"/>
      <c r="AF49" s="179"/>
      <c r="AG49" s="251" t="e">
        <f t="shared" si="9"/>
        <v>#DIV/0!</v>
      </c>
      <c r="AH49" s="254"/>
      <c r="AI49" s="179"/>
      <c r="AJ49" s="251" t="e">
        <f t="shared" si="10"/>
        <v>#DIV/0!</v>
      </c>
      <c r="AK49" s="269" t="e">
        <f t="shared" si="11"/>
        <v>#DIV/0!</v>
      </c>
    </row>
    <row r="50" spans="1:37" x14ac:dyDescent="0.35">
      <c r="A50" s="246">
        <f>D.SISWA!A50</f>
        <v>45</v>
      </c>
      <c r="B50" s="214">
        <f>D.SISWA!B143</f>
        <v>0</v>
      </c>
      <c r="C50" s="214">
        <f>D.SISWA!C143</f>
        <v>0</v>
      </c>
      <c r="D50" s="217">
        <f>D.SISWA!D143</f>
        <v>0</v>
      </c>
      <c r="E50" s="246"/>
      <c r="F50" s="247" t="str">
        <f t="shared" si="0"/>
        <v>60</v>
      </c>
      <c r="G50" s="246"/>
      <c r="H50" s="217"/>
      <c r="I50" s="251" t="e">
        <f t="shared" si="1"/>
        <v>#DIV/0!</v>
      </c>
      <c r="J50" s="254"/>
      <c r="K50" s="304"/>
      <c r="L50" s="179"/>
      <c r="M50" s="251" t="e">
        <f t="shared" si="2"/>
        <v>#DIV/0!</v>
      </c>
      <c r="N50" s="254"/>
      <c r="O50" s="179"/>
      <c r="P50" s="251" t="e">
        <f t="shared" si="3"/>
        <v>#DIV/0!</v>
      </c>
      <c r="Q50" s="254"/>
      <c r="R50" s="179"/>
      <c r="S50" s="251" t="e">
        <f t="shared" si="12"/>
        <v>#DIV/0!</v>
      </c>
      <c r="T50" s="269" t="e">
        <f t="shared" si="5"/>
        <v>#DIV/0!</v>
      </c>
      <c r="V50" s="263">
        <v>1</v>
      </c>
      <c r="W50" s="247" t="str">
        <f t="shared" si="6"/>
        <v>60</v>
      </c>
      <c r="X50" s="246"/>
      <c r="Y50" s="217"/>
      <c r="Z50" s="251" t="e">
        <f t="shared" si="7"/>
        <v>#DIV/0!</v>
      </c>
      <c r="AA50" s="254"/>
      <c r="AB50" s="304"/>
      <c r="AC50" s="179"/>
      <c r="AD50" s="251" t="e">
        <f t="shared" si="8"/>
        <v>#DIV/0!</v>
      </c>
      <c r="AE50" s="254"/>
      <c r="AF50" s="179"/>
      <c r="AG50" s="251" t="e">
        <f t="shared" si="9"/>
        <v>#DIV/0!</v>
      </c>
      <c r="AH50" s="254"/>
      <c r="AI50" s="179"/>
      <c r="AJ50" s="251" t="e">
        <f t="shared" si="10"/>
        <v>#DIV/0!</v>
      </c>
      <c r="AK50" s="269" t="e">
        <f t="shared" si="11"/>
        <v>#DIV/0!</v>
      </c>
    </row>
    <row r="51" spans="1:37" x14ac:dyDescent="0.35">
      <c r="A51" s="246">
        <f>D.SISWA!A51</f>
        <v>46</v>
      </c>
      <c r="B51" s="214">
        <f>D.SISWA!B144</f>
        <v>0</v>
      </c>
      <c r="C51" s="214">
        <f>D.SISWA!C144</f>
        <v>0</v>
      </c>
      <c r="D51" s="217">
        <f>D.SISWA!D144</f>
        <v>0</v>
      </c>
      <c r="E51" s="246"/>
      <c r="F51" s="247" t="str">
        <f t="shared" si="0"/>
        <v>60</v>
      </c>
      <c r="G51" s="246"/>
      <c r="H51" s="217"/>
      <c r="I51" s="251" t="e">
        <f t="shared" si="1"/>
        <v>#DIV/0!</v>
      </c>
      <c r="J51" s="254"/>
      <c r="K51" s="304"/>
      <c r="L51" s="179"/>
      <c r="M51" s="251" t="e">
        <f t="shared" si="2"/>
        <v>#DIV/0!</v>
      </c>
      <c r="N51" s="254"/>
      <c r="O51" s="179"/>
      <c r="P51" s="251" t="e">
        <f t="shared" si="3"/>
        <v>#DIV/0!</v>
      </c>
      <c r="Q51" s="254"/>
      <c r="R51" s="179"/>
      <c r="S51" s="251" t="e">
        <f t="shared" si="12"/>
        <v>#DIV/0!</v>
      </c>
      <c r="T51" s="269" t="e">
        <f t="shared" si="5"/>
        <v>#DIV/0!</v>
      </c>
      <c r="V51" s="263">
        <v>1</v>
      </c>
      <c r="W51" s="247" t="str">
        <f t="shared" si="6"/>
        <v>60</v>
      </c>
      <c r="X51" s="246"/>
      <c r="Y51" s="217"/>
      <c r="Z51" s="251" t="e">
        <f t="shared" si="7"/>
        <v>#DIV/0!</v>
      </c>
      <c r="AA51" s="254"/>
      <c r="AB51" s="304"/>
      <c r="AC51" s="179"/>
      <c r="AD51" s="251" t="e">
        <f t="shared" si="8"/>
        <v>#DIV/0!</v>
      </c>
      <c r="AE51" s="254"/>
      <c r="AF51" s="179"/>
      <c r="AG51" s="251" t="e">
        <f t="shared" si="9"/>
        <v>#DIV/0!</v>
      </c>
      <c r="AH51" s="254"/>
      <c r="AI51" s="179"/>
      <c r="AJ51" s="251" t="e">
        <f t="shared" si="10"/>
        <v>#DIV/0!</v>
      </c>
      <c r="AK51" s="269" t="e">
        <f t="shared" si="11"/>
        <v>#DIV/0!</v>
      </c>
    </row>
    <row r="52" spans="1:37" x14ac:dyDescent="0.35">
      <c r="A52" s="246">
        <f>D.SISWA!A52</f>
        <v>47</v>
      </c>
      <c r="B52" s="214">
        <f>D.SISWA!B145</f>
        <v>0</v>
      </c>
      <c r="C52" s="214">
        <f>D.SISWA!C145</f>
        <v>0</v>
      </c>
      <c r="D52" s="217">
        <f>D.SISWA!D145</f>
        <v>0</v>
      </c>
      <c r="E52" s="246"/>
      <c r="F52" s="247" t="str">
        <f t="shared" si="0"/>
        <v>60</v>
      </c>
      <c r="G52" s="246"/>
      <c r="H52" s="217"/>
      <c r="I52" s="251" t="e">
        <f t="shared" si="1"/>
        <v>#DIV/0!</v>
      </c>
      <c r="J52" s="254"/>
      <c r="K52" s="304"/>
      <c r="L52" s="179"/>
      <c r="M52" s="251" t="e">
        <f t="shared" si="2"/>
        <v>#DIV/0!</v>
      </c>
      <c r="N52" s="254"/>
      <c r="O52" s="179"/>
      <c r="P52" s="251" t="e">
        <f t="shared" si="3"/>
        <v>#DIV/0!</v>
      </c>
      <c r="Q52" s="254"/>
      <c r="R52" s="179"/>
      <c r="S52" s="251" t="e">
        <f t="shared" si="12"/>
        <v>#DIV/0!</v>
      </c>
      <c r="T52" s="269" t="e">
        <f t="shared" si="5"/>
        <v>#DIV/0!</v>
      </c>
      <c r="V52" s="263">
        <v>1</v>
      </c>
      <c r="W52" s="247" t="str">
        <f t="shared" si="6"/>
        <v>60</v>
      </c>
      <c r="X52" s="246"/>
      <c r="Y52" s="217"/>
      <c r="Z52" s="251" t="e">
        <f t="shared" si="7"/>
        <v>#DIV/0!</v>
      </c>
      <c r="AA52" s="254"/>
      <c r="AB52" s="304"/>
      <c r="AC52" s="179"/>
      <c r="AD52" s="251" t="e">
        <f t="shared" si="8"/>
        <v>#DIV/0!</v>
      </c>
      <c r="AE52" s="254"/>
      <c r="AF52" s="179"/>
      <c r="AG52" s="251" t="e">
        <f t="shared" si="9"/>
        <v>#DIV/0!</v>
      </c>
      <c r="AH52" s="254"/>
      <c r="AI52" s="179"/>
      <c r="AJ52" s="251" t="e">
        <f t="shared" si="10"/>
        <v>#DIV/0!</v>
      </c>
      <c r="AK52" s="269" t="e">
        <f t="shared" si="11"/>
        <v>#DIV/0!</v>
      </c>
    </row>
    <row r="53" spans="1:37" ht="15" thickBot="1" x14ac:dyDescent="0.4">
      <c r="A53" s="249">
        <f>D.SISWA!A53</f>
        <v>48</v>
      </c>
      <c r="B53" s="214">
        <f>D.SISWA!B146</f>
        <v>0</v>
      </c>
      <c r="C53" s="214">
        <f>D.SISWA!C146</f>
        <v>0</v>
      </c>
      <c r="D53" s="217">
        <f>D.SISWA!D146</f>
        <v>0</v>
      </c>
      <c r="E53" s="249"/>
      <c r="F53" s="250" t="str">
        <f t="shared" si="0"/>
        <v>60</v>
      </c>
      <c r="G53" s="249"/>
      <c r="H53" s="252"/>
      <c r="I53" s="253" t="e">
        <f t="shared" si="1"/>
        <v>#DIV/0!</v>
      </c>
      <c r="J53" s="256"/>
      <c r="K53" s="306"/>
      <c r="L53" s="224"/>
      <c r="M53" s="253" t="e">
        <f t="shared" si="2"/>
        <v>#DIV/0!</v>
      </c>
      <c r="N53" s="256"/>
      <c r="O53" s="224"/>
      <c r="P53" s="253" t="e">
        <f t="shared" si="3"/>
        <v>#DIV/0!</v>
      </c>
      <c r="Q53" s="256"/>
      <c r="R53" s="224"/>
      <c r="S53" s="253" t="e">
        <f t="shared" si="12"/>
        <v>#DIV/0!</v>
      </c>
      <c r="T53" s="269" t="e">
        <f t="shared" si="5"/>
        <v>#DIV/0!</v>
      </c>
      <c r="V53" s="263">
        <v>1</v>
      </c>
      <c r="W53" s="250" t="str">
        <f t="shared" si="6"/>
        <v>60</v>
      </c>
      <c r="X53" s="249"/>
      <c r="Y53" s="252"/>
      <c r="Z53" s="253" t="e">
        <f t="shared" si="7"/>
        <v>#DIV/0!</v>
      </c>
      <c r="AA53" s="256"/>
      <c r="AB53" s="306"/>
      <c r="AC53" s="224"/>
      <c r="AD53" s="253" t="e">
        <f t="shared" si="8"/>
        <v>#DIV/0!</v>
      </c>
      <c r="AE53" s="256"/>
      <c r="AF53" s="224"/>
      <c r="AG53" s="253" t="e">
        <f t="shared" si="9"/>
        <v>#DIV/0!</v>
      </c>
      <c r="AH53" s="256"/>
      <c r="AI53" s="224"/>
      <c r="AJ53" s="253" t="e">
        <f t="shared" si="10"/>
        <v>#DIV/0!</v>
      </c>
      <c r="AK53" s="269" t="e">
        <f t="shared" si="11"/>
        <v>#DIV/0!</v>
      </c>
    </row>
    <row r="54" spans="1:37" x14ac:dyDescent="0.35">
      <c r="E54" s="213"/>
      <c r="F54" s="213"/>
      <c r="G54" s="213"/>
      <c r="H54" s="213"/>
      <c r="V54" s="213"/>
      <c r="W54" s="213"/>
      <c r="X54" s="213"/>
      <c r="Y54" s="213"/>
    </row>
    <row r="55" spans="1:37" x14ac:dyDescent="0.35">
      <c r="E55" s="213"/>
      <c r="F55" s="213"/>
      <c r="G55" s="213"/>
      <c r="H55" s="213"/>
      <c r="P55" s="413" t="s">
        <v>37</v>
      </c>
      <c r="Q55" s="413"/>
      <c r="V55" s="213"/>
      <c r="W55" s="213"/>
      <c r="X55" s="213"/>
      <c r="Y55" s="213"/>
      <c r="AG55" s="413" t="s">
        <v>37</v>
      </c>
      <c r="AH55" s="413"/>
    </row>
    <row r="56" spans="1:37" x14ac:dyDescent="0.35">
      <c r="E56" s="213"/>
      <c r="F56" s="213"/>
      <c r="G56" s="213"/>
      <c r="H56" s="213"/>
      <c r="P56" t="s">
        <v>237</v>
      </c>
      <c r="Q56">
        <v>35</v>
      </c>
      <c r="V56" s="213"/>
      <c r="W56" s="213"/>
      <c r="X56" s="213"/>
      <c r="Y56" s="213"/>
      <c r="AG56" t="s">
        <v>237</v>
      </c>
      <c r="AH56">
        <v>35</v>
      </c>
    </row>
    <row r="57" spans="1:37" x14ac:dyDescent="0.35">
      <c r="E57" s="213"/>
      <c r="F57" s="213"/>
      <c r="G57" s="213"/>
      <c r="H57" s="213"/>
      <c r="P57" t="s">
        <v>235</v>
      </c>
      <c r="Q57">
        <v>25</v>
      </c>
      <c r="V57" s="213"/>
      <c r="W57" s="213"/>
      <c r="X57" s="213"/>
      <c r="Y57" s="213"/>
      <c r="AG57" t="s">
        <v>235</v>
      </c>
      <c r="AH57">
        <v>25</v>
      </c>
    </row>
    <row r="58" spans="1:37" x14ac:dyDescent="0.35">
      <c r="E58" s="213"/>
      <c r="F58" s="213"/>
      <c r="G58" s="213"/>
      <c r="H58" s="213"/>
      <c r="P58" t="s">
        <v>16</v>
      </c>
      <c r="Q58">
        <v>10</v>
      </c>
      <c r="V58" s="213"/>
      <c r="W58" s="213"/>
      <c r="X58" s="213"/>
      <c r="Y58" s="213"/>
      <c r="AG58" t="s">
        <v>16</v>
      </c>
      <c r="AH58">
        <v>10</v>
      </c>
    </row>
    <row r="59" spans="1:37" x14ac:dyDescent="0.35">
      <c r="E59" s="213"/>
      <c r="F59" s="213"/>
      <c r="G59" s="213"/>
      <c r="H59" s="213"/>
      <c r="P59" t="s">
        <v>15</v>
      </c>
      <c r="Q59">
        <v>15</v>
      </c>
      <c r="V59" s="213"/>
      <c r="W59" s="213"/>
      <c r="X59" s="213"/>
      <c r="Y59" s="213"/>
      <c r="AG59" t="s">
        <v>15</v>
      </c>
      <c r="AH59">
        <v>15</v>
      </c>
    </row>
    <row r="60" spans="1:37" x14ac:dyDescent="0.35">
      <c r="E60" s="213"/>
      <c r="F60" s="213"/>
      <c r="G60" s="213"/>
      <c r="H60" s="213"/>
      <c r="P60" t="s">
        <v>19</v>
      </c>
      <c r="Q60">
        <v>15</v>
      </c>
      <c r="V60" s="213"/>
      <c r="W60" s="213"/>
      <c r="X60" s="213"/>
      <c r="Y60" s="213"/>
      <c r="AG60" t="s">
        <v>19</v>
      </c>
      <c r="AH60">
        <v>15</v>
      </c>
    </row>
    <row r="61" spans="1:37" x14ac:dyDescent="0.35">
      <c r="E61" s="213"/>
      <c r="F61" s="213"/>
      <c r="G61" s="213"/>
      <c r="H61" s="213"/>
      <c r="V61" s="213"/>
      <c r="W61" s="213"/>
      <c r="X61" s="213"/>
      <c r="Y61" s="213"/>
    </row>
    <row r="62" spans="1:37" x14ac:dyDescent="0.35">
      <c r="E62" s="213"/>
      <c r="F62" s="213"/>
      <c r="G62" s="213"/>
      <c r="H62" s="213"/>
      <c r="V62" s="213"/>
      <c r="W62" s="213"/>
      <c r="X62" s="213"/>
      <c r="Y62" s="213"/>
    </row>
    <row r="63" spans="1:37" x14ac:dyDescent="0.35">
      <c r="E63" s="213"/>
      <c r="F63" s="213"/>
      <c r="G63" s="213"/>
      <c r="H63" s="213"/>
      <c r="V63" s="213"/>
      <c r="W63" s="213"/>
      <c r="X63" s="213"/>
      <c r="Y63" s="213"/>
    </row>
    <row r="64" spans="1:37" x14ac:dyDescent="0.35">
      <c r="E64" s="213"/>
      <c r="F64" s="213"/>
      <c r="G64" s="213"/>
      <c r="H64" s="213"/>
      <c r="V64" s="213"/>
      <c r="W64" s="213"/>
      <c r="X64" s="213"/>
      <c r="Y64" s="213"/>
    </row>
    <row r="65" spans="5:25" x14ac:dyDescent="0.35">
      <c r="E65" s="213"/>
      <c r="F65" s="213"/>
      <c r="G65" s="213"/>
      <c r="H65" s="213"/>
      <c r="V65" s="213"/>
      <c r="W65" s="213"/>
      <c r="X65" s="213"/>
      <c r="Y65" s="213"/>
    </row>
    <row r="66" spans="5:25" x14ac:dyDescent="0.35">
      <c r="E66" s="213"/>
      <c r="F66" s="213"/>
      <c r="G66" s="213"/>
      <c r="H66" s="213"/>
      <c r="V66" s="213"/>
      <c r="W66" s="213"/>
      <c r="X66" s="213"/>
      <c r="Y66" s="213"/>
    </row>
    <row r="67" spans="5:25" x14ac:dyDescent="0.35">
      <c r="E67" s="213"/>
      <c r="F67" s="213"/>
      <c r="G67" s="213"/>
      <c r="H67" s="213"/>
      <c r="V67" s="213"/>
      <c r="W67" s="213"/>
      <c r="X67" s="213"/>
      <c r="Y67" s="213"/>
    </row>
    <row r="68" spans="5:25" x14ac:dyDescent="0.35">
      <c r="E68" s="213"/>
      <c r="F68" s="213"/>
      <c r="G68" s="213"/>
      <c r="H68" s="213"/>
      <c r="V68" s="213"/>
      <c r="W68" s="213"/>
      <c r="X68" s="213"/>
      <c r="Y68" s="213"/>
    </row>
    <row r="69" spans="5:25" x14ac:dyDescent="0.35">
      <c r="E69" s="213"/>
      <c r="F69" s="213"/>
      <c r="G69" s="213"/>
      <c r="H69" s="213"/>
      <c r="V69" s="213"/>
      <c r="W69" s="213"/>
      <c r="X69" s="213"/>
      <c r="Y69" s="213"/>
    </row>
    <row r="70" spans="5:25" x14ac:dyDescent="0.35">
      <c r="E70" s="213"/>
      <c r="F70" s="213"/>
      <c r="G70" s="213"/>
      <c r="H70" s="213"/>
      <c r="V70" s="213"/>
      <c r="W70" s="213"/>
      <c r="X70" s="213"/>
      <c r="Y70" s="213"/>
    </row>
    <row r="71" spans="5:25" x14ac:dyDescent="0.35">
      <c r="E71" s="213"/>
      <c r="F71" s="213"/>
      <c r="G71" s="213"/>
      <c r="H71" s="213"/>
      <c r="V71" s="213"/>
      <c r="W71" s="213"/>
      <c r="X71" s="213"/>
      <c r="Y71" s="213"/>
    </row>
    <row r="72" spans="5:25" x14ac:dyDescent="0.35">
      <c r="E72" s="213"/>
      <c r="F72" s="213"/>
      <c r="G72" s="213"/>
      <c r="H72" s="213"/>
      <c r="V72" s="213"/>
      <c r="W72" s="213"/>
      <c r="X72" s="213"/>
      <c r="Y72" s="213"/>
    </row>
    <row r="73" spans="5:25" x14ac:dyDescent="0.35">
      <c r="E73" s="213"/>
      <c r="F73" s="213"/>
      <c r="G73" s="213"/>
      <c r="H73" s="213"/>
      <c r="V73" s="213"/>
      <c r="W73" s="213"/>
      <c r="X73" s="213"/>
      <c r="Y73" s="213"/>
    </row>
    <row r="74" spans="5:25" x14ac:dyDescent="0.35">
      <c r="E74" s="213"/>
      <c r="F74" s="213"/>
      <c r="G74" s="213"/>
      <c r="H74" s="213"/>
      <c r="V74" s="213"/>
      <c r="W74" s="213"/>
      <c r="X74" s="213"/>
      <c r="Y74" s="213"/>
    </row>
    <row r="75" spans="5:25" x14ac:dyDescent="0.35">
      <c r="E75" s="213"/>
      <c r="F75" s="213"/>
      <c r="G75" s="213"/>
      <c r="H75" s="213"/>
      <c r="V75" s="213"/>
      <c r="W75" s="213"/>
      <c r="X75" s="213"/>
      <c r="Y75" s="213"/>
    </row>
    <row r="76" spans="5:25" x14ac:dyDescent="0.35">
      <c r="E76" s="213"/>
      <c r="F76" s="213"/>
      <c r="G76" s="213"/>
      <c r="H76" s="213"/>
      <c r="V76" s="213"/>
      <c r="W76" s="213"/>
      <c r="X76" s="213"/>
      <c r="Y76" s="213"/>
    </row>
    <row r="77" spans="5:25" x14ac:dyDescent="0.35">
      <c r="E77" s="213"/>
      <c r="F77" s="213"/>
      <c r="G77" s="213"/>
      <c r="H77" s="213"/>
      <c r="V77" s="213"/>
      <c r="W77" s="213"/>
      <c r="X77" s="213"/>
      <c r="Y77" s="213"/>
    </row>
    <row r="78" spans="5:25" x14ac:dyDescent="0.35">
      <c r="E78" s="213"/>
      <c r="F78" s="213"/>
      <c r="G78" s="213"/>
      <c r="H78" s="213"/>
      <c r="V78" s="213"/>
      <c r="W78" s="213"/>
      <c r="X78" s="213"/>
      <c r="Y78" s="213"/>
    </row>
    <row r="79" spans="5:25" x14ac:dyDescent="0.35">
      <c r="E79" s="213"/>
      <c r="F79" s="213"/>
      <c r="G79" s="213"/>
      <c r="H79" s="213"/>
      <c r="V79" s="213"/>
      <c r="W79" s="213"/>
      <c r="X79" s="213"/>
      <c r="Y79" s="213"/>
    </row>
    <row r="80" spans="5:25" x14ac:dyDescent="0.35">
      <c r="E80" s="213"/>
      <c r="F80" s="213"/>
      <c r="G80" s="213"/>
      <c r="H80" s="213"/>
      <c r="V80" s="213"/>
      <c r="W80" s="213"/>
      <c r="X80" s="213"/>
      <c r="Y80" s="213"/>
    </row>
    <row r="81" spans="5:25" x14ac:dyDescent="0.35">
      <c r="E81" s="213"/>
      <c r="F81" s="213"/>
      <c r="G81" s="213"/>
      <c r="H81" s="213"/>
      <c r="V81" s="213"/>
      <c r="W81" s="213"/>
      <c r="X81" s="213"/>
      <c r="Y81" s="213"/>
    </row>
    <row r="82" spans="5:25" x14ac:dyDescent="0.35">
      <c r="E82" s="213"/>
      <c r="F82" s="213"/>
      <c r="G82" s="213"/>
      <c r="H82" s="213"/>
      <c r="V82" s="213"/>
      <c r="W82" s="213"/>
      <c r="X82" s="213"/>
      <c r="Y82" s="213"/>
    </row>
    <row r="83" spans="5:25" x14ac:dyDescent="0.35">
      <c r="E83" s="213"/>
      <c r="F83" s="213"/>
      <c r="G83" s="213"/>
      <c r="H83" s="213"/>
      <c r="V83" s="213"/>
      <c r="W83" s="213"/>
      <c r="X83" s="213"/>
      <c r="Y83" s="213"/>
    </row>
    <row r="84" spans="5:25" x14ac:dyDescent="0.35">
      <c r="E84" s="213"/>
      <c r="F84" s="213"/>
      <c r="G84" s="213"/>
      <c r="H84" s="213"/>
      <c r="V84" s="213"/>
      <c r="W84" s="213"/>
      <c r="X84" s="213"/>
      <c r="Y84" s="213"/>
    </row>
    <row r="85" spans="5:25" x14ac:dyDescent="0.35">
      <c r="E85" s="213"/>
      <c r="F85" s="213"/>
      <c r="G85" s="213"/>
      <c r="H85" s="213"/>
      <c r="V85" s="213"/>
      <c r="W85" s="213"/>
      <c r="X85" s="213"/>
      <c r="Y85" s="213"/>
    </row>
    <row r="86" spans="5:25" x14ac:dyDescent="0.35">
      <c r="E86" s="213"/>
      <c r="F86" s="213"/>
      <c r="G86" s="213"/>
      <c r="H86" s="213"/>
      <c r="V86" s="213"/>
      <c r="W86" s="213"/>
      <c r="X86" s="213"/>
      <c r="Y86" s="213"/>
    </row>
    <row r="87" spans="5:25" x14ac:dyDescent="0.35">
      <c r="E87" s="213"/>
      <c r="F87" s="213"/>
      <c r="G87" s="213"/>
      <c r="H87" s="213"/>
      <c r="V87" s="213"/>
      <c r="W87" s="213"/>
      <c r="X87" s="213"/>
      <c r="Y87" s="213"/>
    </row>
    <row r="88" spans="5:25" x14ac:dyDescent="0.35">
      <c r="E88" s="213"/>
      <c r="F88" s="213"/>
      <c r="G88" s="213"/>
      <c r="H88" s="213"/>
      <c r="V88" s="213"/>
      <c r="W88" s="213"/>
      <c r="X88" s="213"/>
      <c r="Y88" s="213"/>
    </row>
    <row r="89" spans="5:25" x14ac:dyDescent="0.35">
      <c r="E89" s="213"/>
      <c r="F89" s="213"/>
      <c r="G89" s="213"/>
      <c r="H89" s="213"/>
      <c r="V89" s="213"/>
      <c r="W89" s="213"/>
      <c r="X89" s="213"/>
      <c r="Y89" s="213"/>
    </row>
    <row r="90" spans="5:25" x14ac:dyDescent="0.35">
      <c r="E90" s="213"/>
      <c r="F90" s="213"/>
      <c r="G90" s="213"/>
      <c r="H90" s="213"/>
      <c r="V90" s="213"/>
      <c r="W90" s="213"/>
      <c r="X90" s="213"/>
      <c r="Y90" s="213"/>
    </row>
    <row r="91" spans="5:25" x14ac:dyDescent="0.35">
      <c r="E91" s="213"/>
      <c r="F91" s="213"/>
      <c r="G91" s="213"/>
      <c r="H91" s="213"/>
      <c r="V91" s="213"/>
      <c r="W91" s="213"/>
      <c r="X91" s="213"/>
      <c r="Y91" s="213"/>
    </row>
    <row r="92" spans="5:25" x14ac:dyDescent="0.35">
      <c r="E92" s="213"/>
      <c r="F92" s="213"/>
      <c r="G92" s="213"/>
      <c r="H92" s="213"/>
      <c r="V92" s="213"/>
      <c r="W92" s="213"/>
      <c r="X92" s="213"/>
      <c r="Y92" s="213"/>
    </row>
    <row r="93" spans="5:25" x14ac:dyDescent="0.35">
      <c r="E93" s="213"/>
      <c r="F93" s="213"/>
      <c r="G93" s="213"/>
      <c r="H93" s="213"/>
      <c r="V93" s="213"/>
      <c r="W93" s="213"/>
      <c r="X93" s="213"/>
      <c r="Y93" s="213"/>
    </row>
    <row r="94" spans="5:25" x14ac:dyDescent="0.35">
      <c r="E94" s="213"/>
      <c r="F94" s="213"/>
      <c r="G94" s="213"/>
      <c r="H94" s="213"/>
      <c r="V94" s="213"/>
      <c r="W94" s="213"/>
      <c r="X94" s="213"/>
      <c r="Y94" s="213"/>
    </row>
    <row r="95" spans="5:25" x14ac:dyDescent="0.35">
      <c r="E95" s="213"/>
      <c r="F95" s="213"/>
      <c r="G95" s="213"/>
      <c r="H95" s="213"/>
      <c r="V95" s="213"/>
      <c r="W95" s="213"/>
      <c r="X95" s="213"/>
      <c r="Y95" s="213"/>
    </row>
    <row r="96" spans="5:25" x14ac:dyDescent="0.35">
      <c r="E96" s="213"/>
      <c r="F96" s="213"/>
      <c r="G96" s="213"/>
      <c r="H96" s="213"/>
      <c r="V96" s="213"/>
      <c r="W96" s="213"/>
      <c r="X96" s="213"/>
      <c r="Y96" s="213"/>
    </row>
    <row r="97" spans="5:25" x14ac:dyDescent="0.35">
      <c r="E97" s="213"/>
      <c r="F97" s="213"/>
      <c r="G97" s="213"/>
      <c r="H97" s="213"/>
      <c r="V97" s="213"/>
      <c r="W97" s="213"/>
      <c r="X97" s="213"/>
      <c r="Y97" s="213"/>
    </row>
    <row r="98" spans="5:25" x14ac:dyDescent="0.35">
      <c r="E98" s="213"/>
      <c r="F98" s="213"/>
      <c r="G98" s="213"/>
      <c r="H98" s="213"/>
      <c r="V98" s="213"/>
      <c r="W98" s="213"/>
      <c r="X98" s="213"/>
      <c r="Y98" s="213"/>
    </row>
  </sheetData>
  <mergeCells count="22">
    <mergeCell ref="AG55:AH55"/>
    <mergeCell ref="V1:AK1"/>
    <mergeCell ref="V2:AK2"/>
    <mergeCell ref="V3:AK3"/>
    <mergeCell ref="V4:W4"/>
    <mergeCell ref="X4:Z4"/>
    <mergeCell ref="AA4:AD4"/>
    <mergeCell ref="AE4:AG4"/>
    <mergeCell ref="AH4:AJ4"/>
    <mergeCell ref="P55:Q55"/>
    <mergeCell ref="G4:I4"/>
    <mergeCell ref="N4:P4"/>
    <mergeCell ref="Q4:S4"/>
    <mergeCell ref="A1:A4"/>
    <mergeCell ref="B1:B4"/>
    <mergeCell ref="C1:C4"/>
    <mergeCell ref="D1:D4"/>
    <mergeCell ref="E1:T1"/>
    <mergeCell ref="E2:T2"/>
    <mergeCell ref="E3:T3"/>
    <mergeCell ref="J4:M4"/>
    <mergeCell ref="E4:F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Z98"/>
  <sheetViews>
    <sheetView workbookViewId="0">
      <pane xSplit="4" ySplit="5" topLeftCell="U12" activePane="bottomRight" state="frozen"/>
      <selection pane="topRight" activeCell="E1" sqref="E1"/>
      <selection pane="bottomLeft" activeCell="A6" sqref="A6"/>
      <selection pane="bottomRight" activeCell="V17" sqref="V17"/>
    </sheetView>
  </sheetViews>
  <sheetFormatPr defaultRowHeight="14.5" x14ac:dyDescent="0.35"/>
  <cols>
    <col min="1" max="1" width="5.81640625" style="212" bestFit="1" customWidth="1"/>
    <col min="2" max="2" width="12.81640625" bestFit="1" customWidth="1"/>
    <col min="3" max="3" width="41.7265625" bestFit="1" customWidth="1"/>
    <col min="4" max="4" width="11.453125" style="212" bestFit="1" customWidth="1"/>
    <col min="5" max="5" width="6.54296875" style="218" customWidth="1"/>
    <col min="6" max="8" width="6.7265625" style="218" customWidth="1"/>
    <col min="9" max="9" width="7.7265625" bestFit="1" customWidth="1"/>
    <col min="10" max="12" width="6.7265625" customWidth="1"/>
    <col min="13" max="13" width="7.7265625" bestFit="1" customWidth="1"/>
    <col min="14" max="15" width="6.7265625" customWidth="1"/>
    <col min="16" max="16" width="8" bestFit="1" customWidth="1"/>
    <col min="17" max="18" width="6.7265625" customWidth="1"/>
    <col min="19" max="19" width="7.7265625" bestFit="1" customWidth="1"/>
    <col min="20" max="20" width="12.81640625" style="218" bestFit="1" customWidth="1"/>
    <col min="22" max="22" width="6.54296875" style="222" customWidth="1"/>
    <col min="23" max="25" width="6.7265625" style="222" customWidth="1"/>
    <col min="26" max="26" width="7.7265625" bestFit="1" customWidth="1"/>
    <col min="27" max="28" width="6.7265625" customWidth="1"/>
    <col min="29" max="29" width="7.7265625" bestFit="1" customWidth="1"/>
    <col min="30" max="31" width="6.7265625" customWidth="1"/>
    <col min="32" max="32" width="8" bestFit="1" customWidth="1"/>
    <col min="33" max="34" width="6.7265625" customWidth="1"/>
    <col min="35" max="35" width="7.7265625" bestFit="1" customWidth="1"/>
    <col min="36" max="36" width="12.81640625" style="222" bestFit="1" customWidth="1"/>
    <col min="37" max="37" width="5.1796875" customWidth="1"/>
    <col min="38" max="38" width="6.54296875" style="222" customWidth="1"/>
    <col min="39" max="41" width="6.7265625" style="222" customWidth="1"/>
    <col min="42" max="42" width="7.7265625" bestFit="1" customWidth="1"/>
    <col min="43" max="44" width="6.7265625" customWidth="1"/>
    <col min="45" max="45" width="7.7265625" bestFit="1" customWidth="1"/>
    <col min="46" max="47" width="6.7265625" customWidth="1"/>
    <col min="48" max="48" width="8" bestFit="1" customWidth="1"/>
    <col min="49" max="50" width="6.7265625" customWidth="1"/>
    <col min="51" max="51" width="7.7265625" bestFit="1" customWidth="1"/>
    <col min="52" max="52" width="12.81640625" style="222" bestFit="1" customWidth="1"/>
  </cols>
  <sheetData>
    <row r="1" spans="1:52" ht="17.5" x14ac:dyDescent="0.35">
      <c r="A1" s="449" t="s">
        <v>1</v>
      </c>
      <c r="B1" s="451" t="s">
        <v>2</v>
      </c>
      <c r="C1" s="451" t="s">
        <v>3</v>
      </c>
      <c r="D1" s="453" t="s">
        <v>36</v>
      </c>
      <c r="E1" s="435" t="s">
        <v>243</v>
      </c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7"/>
      <c r="V1" s="435" t="s">
        <v>243</v>
      </c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7"/>
      <c r="AL1" s="435" t="s">
        <v>243</v>
      </c>
      <c r="AM1" s="436"/>
      <c r="AN1" s="436"/>
      <c r="AO1" s="436"/>
      <c r="AP1" s="436"/>
      <c r="AQ1" s="436"/>
      <c r="AR1" s="436"/>
      <c r="AS1" s="436"/>
      <c r="AT1" s="436"/>
      <c r="AU1" s="436"/>
      <c r="AV1" s="436"/>
      <c r="AW1" s="436"/>
      <c r="AX1" s="436"/>
      <c r="AY1" s="436"/>
      <c r="AZ1" s="437"/>
    </row>
    <row r="2" spans="1:52" ht="17.5" x14ac:dyDescent="0.35">
      <c r="A2" s="450"/>
      <c r="B2" s="452"/>
      <c r="C2" s="452"/>
      <c r="D2" s="454"/>
      <c r="E2" s="438" t="s">
        <v>124</v>
      </c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40"/>
      <c r="V2" s="438" t="s">
        <v>284</v>
      </c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40"/>
      <c r="AL2" s="438" t="s">
        <v>285</v>
      </c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40"/>
    </row>
    <row r="3" spans="1:52" ht="18" thickBot="1" x14ac:dyDescent="0.4">
      <c r="A3" s="450"/>
      <c r="B3" s="452"/>
      <c r="C3" s="452"/>
      <c r="D3" s="454"/>
      <c r="E3" s="455" t="s">
        <v>242</v>
      </c>
      <c r="F3" s="456"/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7"/>
      <c r="V3" s="441" t="s">
        <v>242</v>
      </c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3"/>
      <c r="AL3" s="441" t="s">
        <v>242</v>
      </c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3"/>
    </row>
    <row r="4" spans="1:52" ht="17.5" x14ac:dyDescent="0.35">
      <c r="A4" s="450"/>
      <c r="B4" s="452"/>
      <c r="C4" s="452"/>
      <c r="D4" s="454"/>
      <c r="E4" s="458" t="s">
        <v>237</v>
      </c>
      <c r="F4" s="459"/>
      <c r="G4" s="460" t="s">
        <v>235</v>
      </c>
      <c r="H4" s="461"/>
      <c r="I4" s="462"/>
      <c r="J4" s="460" t="s">
        <v>16</v>
      </c>
      <c r="K4" s="461"/>
      <c r="L4" s="461"/>
      <c r="M4" s="462"/>
      <c r="N4" s="460" t="s">
        <v>15</v>
      </c>
      <c r="O4" s="461"/>
      <c r="P4" s="462"/>
      <c r="Q4" s="460" t="s">
        <v>19</v>
      </c>
      <c r="R4" s="461"/>
      <c r="S4" s="462"/>
      <c r="T4" s="280" t="s">
        <v>236</v>
      </c>
      <c r="V4" s="444" t="s">
        <v>237</v>
      </c>
      <c r="W4" s="445"/>
      <c r="X4" s="446" t="s">
        <v>235</v>
      </c>
      <c r="Y4" s="447"/>
      <c r="Z4" s="448"/>
      <c r="AA4" s="446" t="s">
        <v>16</v>
      </c>
      <c r="AB4" s="447"/>
      <c r="AC4" s="448"/>
      <c r="AD4" s="446" t="s">
        <v>15</v>
      </c>
      <c r="AE4" s="447"/>
      <c r="AF4" s="448"/>
      <c r="AG4" s="446" t="s">
        <v>19</v>
      </c>
      <c r="AH4" s="447"/>
      <c r="AI4" s="448"/>
      <c r="AJ4" s="284" t="s">
        <v>236</v>
      </c>
      <c r="AL4" s="444" t="s">
        <v>237</v>
      </c>
      <c r="AM4" s="445"/>
      <c r="AN4" s="446" t="s">
        <v>235</v>
      </c>
      <c r="AO4" s="447"/>
      <c r="AP4" s="448"/>
      <c r="AQ4" s="446" t="s">
        <v>16</v>
      </c>
      <c r="AR4" s="447"/>
      <c r="AS4" s="448"/>
      <c r="AT4" s="446" t="s">
        <v>15</v>
      </c>
      <c r="AU4" s="447"/>
      <c r="AV4" s="448"/>
      <c r="AW4" s="446" t="s">
        <v>19</v>
      </c>
      <c r="AX4" s="447"/>
      <c r="AY4" s="448"/>
      <c r="AZ4" s="284" t="s">
        <v>236</v>
      </c>
    </row>
    <row r="5" spans="1:52" s="215" customFormat="1" ht="26.5" thickBot="1" x14ac:dyDescent="0.35">
      <c r="A5" s="244">
        <v>1</v>
      </c>
      <c r="B5" s="216">
        <v>2</v>
      </c>
      <c r="C5" s="216">
        <v>3</v>
      </c>
      <c r="D5" s="245">
        <v>4</v>
      </c>
      <c r="E5" s="270"/>
      <c r="F5" s="272">
        <v>11</v>
      </c>
      <c r="G5" s="312" t="s">
        <v>319</v>
      </c>
      <c r="H5" s="312" t="s">
        <v>318</v>
      </c>
      <c r="I5" s="272">
        <v>12</v>
      </c>
      <c r="J5" s="307"/>
      <c r="K5" s="272"/>
      <c r="L5" s="272"/>
      <c r="M5" s="272">
        <v>13</v>
      </c>
      <c r="N5" s="272" t="s">
        <v>240</v>
      </c>
      <c r="O5" s="272" t="s">
        <v>241</v>
      </c>
      <c r="P5" s="272">
        <v>14</v>
      </c>
      <c r="Q5" s="272" t="s">
        <v>240</v>
      </c>
      <c r="R5" s="272" t="s">
        <v>241</v>
      </c>
      <c r="S5" s="272">
        <v>15</v>
      </c>
      <c r="T5" s="271">
        <v>16</v>
      </c>
      <c r="V5" s="244"/>
      <c r="W5" s="216">
        <v>11</v>
      </c>
      <c r="X5" s="216"/>
      <c r="Y5" s="216"/>
      <c r="Z5" s="216">
        <v>12</v>
      </c>
      <c r="AA5" s="216"/>
      <c r="AB5" s="216"/>
      <c r="AC5" s="216">
        <v>13</v>
      </c>
      <c r="AD5" s="216" t="s">
        <v>240</v>
      </c>
      <c r="AE5" s="216" t="s">
        <v>241</v>
      </c>
      <c r="AF5" s="216">
        <v>14</v>
      </c>
      <c r="AG5" s="216" t="s">
        <v>240</v>
      </c>
      <c r="AH5" s="216" t="s">
        <v>241</v>
      </c>
      <c r="AI5" s="216">
        <v>15</v>
      </c>
      <c r="AJ5" s="245">
        <v>16</v>
      </c>
      <c r="AL5" s="244"/>
      <c r="AM5" s="216">
        <v>11</v>
      </c>
      <c r="AN5" s="216"/>
      <c r="AO5" s="216"/>
      <c r="AP5" s="216">
        <v>12</v>
      </c>
      <c r="AQ5" s="216"/>
      <c r="AR5" s="216"/>
      <c r="AS5" s="216">
        <v>13</v>
      </c>
      <c r="AT5" s="216" t="s">
        <v>240</v>
      </c>
      <c r="AU5" s="216" t="s">
        <v>241</v>
      </c>
      <c r="AV5" s="216">
        <v>14</v>
      </c>
      <c r="AW5" s="216" t="s">
        <v>240</v>
      </c>
      <c r="AX5" s="216" t="s">
        <v>241</v>
      </c>
      <c r="AY5" s="216">
        <v>15</v>
      </c>
      <c r="AZ5" s="245">
        <v>16</v>
      </c>
    </row>
    <row r="6" spans="1:52" x14ac:dyDescent="0.35">
      <c r="A6" s="246">
        <f>D.SISWA!A6</f>
        <v>1</v>
      </c>
      <c r="B6" s="214">
        <f>D.SISWA!B6</f>
        <v>242501001</v>
      </c>
      <c r="C6" s="214" t="str">
        <f>D.SISWA!C6</f>
        <v>ALVIN PRASETIA</v>
      </c>
      <c r="D6" s="247" t="str">
        <f>D.SISWA!D6</f>
        <v>XI ACP</v>
      </c>
      <c r="E6" s="263">
        <v>1</v>
      </c>
      <c r="F6" s="265" t="str">
        <f>IF(E6&gt;=30,"87",IF(E6&gt;=25,"84",IF(E6&gt;=20,"81",IF(E6&gt;=15,"78","60"))))</f>
        <v>60</v>
      </c>
      <c r="G6" s="265"/>
      <c r="H6" s="265"/>
      <c r="I6" s="268" t="e">
        <f>AVERAGE(G6:H6)</f>
        <v>#DIV/0!</v>
      </c>
      <c r="J6" s="268"/>
      <c r="K6" s="268"/>
      <c r="L6" s="268"/>
      <c r="M6" s="268" t="e">
        <f>AVERAGE(J6:L6)</f>
        <v>#DIV/0!</v>
      </c>
      <c r="N6" s="268"/>
      <c r="O6" s="268"/>
      <c r="P6" s="268" t="e">
        <f>AVERAGE(N6:O6)</f>
        <v>#DIV/0!</v>
      </c>
      <c r="Q6" s="268"/>
      <c r="R6" s="268"/>
      <c r="S6" s="268" t="e">
        <f>AVERAGE(Q6:R6)</f>
        <v>#DIV/0!</v>
      </c>
      <c r="T6" s="281" t="e">
        <f>(0.4*F6)+(0.2*I6)+(0.15*M6)+(0.15*P6)+(0.1*S6)</f>
        <v>#DIV/0!</v>
      </c>
      <c r="V6" s="246">
        <v>0</v>
      </c>
      <c r="W6" s="217" t="str">
        <f>IF(V6&gt;=30,"87",IF(V6&gt;=25,"84",IF(V6&gt;=20,"81",IF(V6&gt;=15,"78","60"))))</f>
        <v>60</v>
      </c>
      <c r="X6" s="217"/>
      <c r="Y6" s="217"/>
      <c r="Z6" s="179" t="e">
        <f>AVERAGE(X6:Y6)</f>
        <v>#DIV/0!</v>
      </c>
      <c r="AA6" s="179"/>
      <c r="AB6" s="179"/>
      <c r="AC6" s="179" t="e">
        <f>AVERAGE(AA6:AB6)</f>
        <v>#DIV/0!</v>
      </c>
      <c r="AD6" s="179"/>
      <c r="AE6" s="179"/>
      <c r="AF6" s="179" t="e">
        <f>AVERAGE(AD6:AE6)</f>
        <v>#DIV/0!</v>
      </c>
      <c r="AG6" s="179"/>
      <c r="AH6" s="179"/>
      <c r="AI6" s="179" t="e">
        <f>AVERAGE(AG6:AH6)</f>
        <v>#DIV/0!</v>
      </c>
      <c r="AJ6" s="282" t="e">
        <f>(0.4*W6)+(0.2*Z6)+(0.15*AC6)+(0.15*AF6)+(0.1*AI6)</f>
        <v>#DIV/0!</v>
      </c>
      <c r="AL6" s="246">
        <v>0</v>
      </c>
      <c r="AM6" s="217" t="str">
        <f>IF(AL6&gt;=30,"87",IF(AL6&gt;=25,"84",IF(AL6&gt;=20,"81",IF(AL6&gt;=15,"78","60"))))</f>
        <v>60</v>
      </c>
      <c r="AN6" s="217"/>
      <c r="AO6" s="217"/>
      <c r="AP6" s="179" t="e">
        <f>AVERAGE(AN6:AO6)</f>
        <v>#DIV/0!</v>
      </c>
      <c r="AQ6" s="179"/>
      <c r="AR6" s="179"/>
      <c r="AS6" s="179" t="e">
        <f>AVERAGE(AQ6:AR6)</f>
        <v>#DIV/0!</v>
      </c>
      <c r="AT6" s="179"/>
      <c r="AU6" s="179"/>
      <c r="AV6" s="179" t="e">
        <f>AVERAGE(AT6:AU6)</f>
        <v>#DIV/0!</v>
      </c>
      <c r="AW6" s="179"/>
      <c r="AX6" s="179"/>
      <c r="AY6" s="179" t="e">
        <f>AVERAGE(AW6:AX6)</f>
        <v>#DIV/0!</v>
      </c>
      <c r="AZ6" s="282" t="e">
        <f>(0.4*AM6)+(0.2*AP6)+(0.15*AS6)+(0.15*AV6)+(0.1*AY6)</f>
        <v>#DIV/0!</v>
      </c>
    </row>
    <row r="7" spans="1:52" x14ac:dyDescent="0.35">
      <c r="A7" s="246">
        <f>D.SISWA!A7</f>
        <v>2</v>
      </c>
      <c r="B7" s="214">
        <f>D.SISWA!B7</f>
        <v>242501002</v>
      </c>
      <c r="C7" s="214" t="str">
        <f>D.SISWA!C7</f>
        <v>AKBAR MAULANA</v>
      </c>
      <c r="D7" s="247" t="str">
        <f>D.SISWA!D7</f>
        <v>XI ACP</v>
      </c>
      <c r="E7" s="246">
        <v>2</v>
      </c>
      <c r="F7" s="217" t="str">
        <f t="shared" ref="F7:F50" si="0">IF(E7&gt;=30,"87",IF(E7&gt;=25,"84",IF(E7&gt;=20,"81",IF(E7&gt;=15,"78","60"))))</f>
        <v>60</v>
      </c>
      <c r="G7" s="217"/>
      <c r="H7" s="217"/>
      <c r="I7" s="179" t="e">
        <f t="shared" ref="I7:I50" si="1">AVERAGE(G7:H7)</f>
        <v>#DIV/0!</v>
      </c>
      <c r="J7" s="179"/>
      <c r="K7" s="179"/>
      <c r="L7" s="179"/>
      <c r="M7" s="179" t="e">
        <f t="shared" ref="M7:M50" si="2">AVERAGE(J7:L7)</f>
        <v>#DIV/0!</v>
      </c>
      <c r="N7" s="179"/>
      <c r="O7" s="179"/>
      <c r="P7" s="179" t="e">
        <f t="shared" ref="P7:P50" si="3">AVERAGE(N7:O7)</f>
        <v>#DIV/0!</v>
      </c>
      <c r="Q7" s="179"/>
      <c r="R7" s="179"/>
      <c r="S7" s="179" t="e">
        <f t="shared" ref="S7:S50" si="4">AVERAGE(Q7:R7)</f>
        <v>#DIV/0!</v>
      </c>
      <c r="T7" s="282" t="e">
        <f t="shared" ref="T7:T16" si="5">(0.4*F7)+(0.2*I7)+(0.15*M7)+(0.15*P7)+(0.1*S7)</f>
        <v>#DIV/0!</v>
      </c>
      <c r="V7" s="246">
        <v>0</v>
      </c>
      <c r="W7" s="217" t="str">
        <f t="shared" ref="W7:W50" si="6">IF(V7&gt;=30,"87",IF(V7&gt;=25,"84",IF(V7&gt;=20,"81",IF(V7&gt;=15,"78","60"))))</f>
        <v>60</v>
      </c>
      <c r="X7" s="217"/>
      <c r="Y7" s="217"/>
      <c r="Z7" s="179" t="e">
        <f t="shared" ref="Z7:Z50" si="7">AVERAGE(X7:Y7)</f>
        <v>#DIV/0!</v>
      </c>
      <c r="AA7" s="179"/>
      <c r="AB7" s="179"/>
      <c r="AC7" s="179" t="e">
        <f t="shared" ref="AC7:AC50" si="8">AVERAGE(AA7:AB7)</f>
        <v>#DIV/0!</v>
      </c>
      <c r="AD7" s="179"/>
      <c r="AE7" s="179"/>
      <c r="AF7" s="179" t="e">
        <f t="shared" ref="AF7:AF50" si="9">AVERAGE(AD7:AE7)</f>
        <v>#DIV/0!</v>
      </c>
      <c r="AG7" s="179"/>
      <c r="AH7" s="179"/>
      <c r="AI7" s="179" t="e">
        <f t="shared" ref="AI7:AI50" si="10">AVERAGE(AG7:AH7)</f>
        <v>#DIV/0!</v>
      </c>
      <c r="AJ7" s="282" t="e">
        <f t="shared" ref="AJ7:AJ16" si="11">(0.4*W7)+(0.2*Z7)+(0.15*AC7)+(0.15*AF7)+(0.1*AI7)</f>
        <v>#DIV/0!</v>
      </c>
      <c r="AL7" s="246">
        <v>0</v>
      </c>
      <c r="AM7" s="217" t="str">
        <f t="shared" ref="AM7:AM50" si="12">IF(AL7&gt;=30,"87",IF(AL7&gt;=25,"84",IF(AL7&gt;=20,"81",IF(AL7&gt;=15,"78","60"))))</f>
        <v>60</v>
      </c>
      <c r="AN7" s="217"/>
      <c r="AO7" s="217"/>
      <c r="AP7" s="179" t="e">
        <f t="shared" ref="AP7:AP50" si="13">AVERAGE(AN7:AO7)</f>
        <v>#DIV/0!</v>
      </c>
      <c r="AQ7" s="179"/>
      <c r="AR7" s="179"/>
      <c r="AS7" s="179" t="e">
        <f t="shared" ref="AS7:AS50" si="14">AVERAGE(AQ7:AR7)</f>
        <v>#DIV/0!</v>
      </c>
      <c r="AT7" s="179"/>
      <c r="AU7" s="179"/>
      <c r="AV7" s="179" t="e">
        <f t="shared" ref="AV7:AV50" si="15">AVERAGE(AT7:AU7)</f>
        <v>#DIV/0!</v>
      </c>
      <c r="AW7" s="179"/>
      <c r="AX7" s="179"/>
      <c r="AY7" s="179" t="e">
        <f t="shared" ref="AY7:AY50" si="16">AVERAGE(AW7:AX7)</f>
        <v>#DIV/0!</v>
      </c>
      <c r="AZ7" s="282" t="e">
        <f t="shared" ref="AZ7:AZ16" si="17">(0.4*AM7)+(0.2*AP7)+(0.15*AS7)+(0.15*AV7)+(0.1*AY7)</f>
        <v>#DIV/0!</v>
      </c>
    </row>
    <row r="8" spans="1:52" x14ac:dyDescent="0.35">
      <c r="A8" s="246">
        <f>D.SISWA!A8</f>
        <v>3</v>
      </c>
      <c r="B8" s="214">
        <f>D.SISWA!B8</f>
        <v>242501003</v>
      </c>
      <c r="C8" s="214" t="str">
        <f>D.SISWA!C8</f>
        <v>FADIL ABDUL AZIZ</v>
      </c>
      <c r="D8" s="247" t="str">
        <f>D.SISWA!D8</f>
        <v>XI ACP</v>
      </c>
      <c r="E8" s="246">
        <v>1</v>
      </c>
      <c r="F8" s="217" t="str">
        <f t="shared" si="0"/>
        <v>60</v>
      </c>
      <c r="G8" s="217"/>
      <c r="H8" s="217"/>
      <c r="I8" s="179" t="e">
        <f t="shared" si="1"/>
        <v>#DIV/0!</v>
      </c>
      <c r="J8" s="179"/>
      <c r="K8" s="179"/>
      <c r="L8" s="179"/>
      <c r="M8" s="179" t="e">
        <f t="shared" si="2"/>
        <v>#DIV/0!</v>
      </c>
      <c r="N8" s="179"/>
      <c r="O8" s="179"/>
      <c r="P8" s="179" t="e">
        <f t="shared" si="3"/>
        <v>#DIV/0!</v>
      </c>
      <c r="Q8" s="179"/>
      <c r="R8" s="179"/>
      <c r="S8" s="179" t="e">
        <f t="shared" si="4"/>
        <v>#DIV/0!</v>
      </c>
      <c r="T8" s="282" t="e">
        <f t="shared" si="5"/>
        <v>#DIV/0!</v>
      </c>
      <c r="V8" s="246">
        <v>1</v>
      </c>
      <c r="W8" s="217" t="str">
        <f t="shared" si="6"/>
        <v>60</v>
      </c>
      <c r="X8" s="217"/>
      <c r="Y8" s="217"/>
      <c r="Z8" s="179" t="e">
        <f t="shared" si="7"/>
        <v>#DIV/0!</v>
      </c>
      <c r="AA8" s="179"/>
      <c r="AB8" s="179"/>
      <c r="AC8" s="179" t="e">
        <f t="shared" si="8"/>
        <v>#DIV/0!</v>
      </c>
      <c r="AD8" s="179"/>
      <c r="AE8" s="179"/>
      <c r="AF8" s="179" t="e">
        <f t="shared" si="9"/>
        <v>#DIV/0!</v>
      </c>
      <c r="AG8" s="179"/>
      <c r="AH8" s="179"/>
      <c r="AI8" s="179" t="e">
        <f t="shared" si="10"/>
        <v>#DIV/0!</v>
      </c>
      <c r="AJ8" s="282" t="e">
        <f t="shared" si="11"/>
        <v>#DIV/0!</v>
      </c>
      <c r="AL8" s="246">
        <v>1</v>
      </c>
      <c r="AM8" s="217" t="str">
        <f t="shared" si="12"/>
        <v>60</v>
      </c>
      <c r="AN8" s="217"/>
      <c r="AO8" s="217"/>
      <c r="AP8" s="179" t="e">
        <f t="shared" si="13"/>
        <v>#DIV/0!</v>
      </c>
      <c r="AQ8" s="179"/>
      <c r="AR8" s="179"/>
      <c r="AS8" s="179" t="e">
        <f t="shared" si="14"/>
        <v>#DIV/0!</v>
      </c>
      <c r="AT8" s="179"/>
      <c r="AU8" s="179"/>
      <c r="AV8" s="179" t="e">
        <f t="shared" si="15"/>
        <v>#DIV/0!</v>
      </c>
      <c r="AW8" s="179"/>
      <c r="AX8" s="179"/>
      <c r="AY8" s="179" t="e">
        <f t="shared" si="16"/>
        <v>#DIV/0!</v>
      </c>
      <c r="AZ8" s="282" t="e">
        <f t="shared" si="17"/>
        <v>#DIV/0!</v>
      </c>
    </row>
    <row r="9" spans="1:52" x14ac:dyDescent="0.35">
      <c r="A9" s="246">
        <f>D.SISWA!A9</f>
        <v>4</v>
      </c>
      <c r="B9" s="214">
        <f>D.SISWA!B9</f>
        <v>242501004</v>
      </c>
      <c r="C9" s="214" t="str">
        <f>D.SISWA!C9</f>
        <v>FAJAR MAULANA NUGRAHA</v>
      </c>
      <c r="D9" s="247" t="str">
        <f>D.SISWA!D9</f>
        <v>XI ACP</v>
      </c>
      <c r="E9" s="246">
        <v>2</v>
      </c>
      <c r="F9" s="217" t="str">
        <f t="shared" si="0"/>
        <v>60</v>
      </c>
      <c r="G9" s="217"/>
      <c r="H9" s="217"/>
      <c r="I9" s="179" t="e">
        <f t="shared" si="1"/>
        <v>#DIV/0!</v>
      </c>
      <c r="J9" s="179"/>
      <c r="K9" s="179"/>
      <c r="L9" s="179"/>
      <c r="M9" s="179" t="e">
        <f t="shared" si="2"/>
        <v>#DIV/0!</v>
      </c>
      <c r="N9" s="179"/>
      <c r="O9" s="179"/>
      <c r="P9" s="179" t="e">
        <f t="shared" si="3"/>
        <v>#DIV/0!</v>
      </c>
      <c r="Q9" s="179"/>
      <c r="R9" s="179"/>
      <c r="S9" s="179" t="e">
        <f t="shared" si="4"/>
        <v>#DIV/0!</v>
      </c>
      <c r="T9" s="282" t="e">
        <f t="shared" si="5"/>
        <v>#DIV/0!</v>
      </c>
      <c r="V9" s="246">
        <v>1</v>
      </c>
      <c r="W9" s="217" t="str">
        <f t="shared" si="6"/>
        <v>60</v>
      </c>
      <c r="X9" s="217"/>
      <c r="Y9" s="217"/>
      <c r="Z9" s="179" t="e">
        <f t="shared" si="7"/>
        <v>#DIV/0!</v>
      </c>
      <c r="AA9" s="179"/>
      <c r="AB9" s="179"/>
      <c r="AC9" s="179" t="e">
        <f t="shared" si="8"/>
        <v>#DIV/0!</v>
      </c>
      <c r="AD9" s="179"/>
      <c r="AE9" s="179"/>
      <c r="AF9" s="179" t="e">
        <f t="shared" si="9"/>
        <v>#DIV/0!</v>
      </c>
      <c r="AG9" s="179"/>
      <c r="AH9" s="179"/>
      <c r="AI9" s="179" t="e">
        <f t="shared" si="10"/>
        <v>#DIV/0!</v>
      </c>
      <c r="AJ9" s="282" t="e">
        <f t="shared" si="11"/>
        <v>#DIV/0!</v>
      </c>
      <c r="AL9" s="246">
        <v>1</v>
      </c>
      <c r="AM9" s="217" t="str">
        <f t="shared" si="12"/>
        <v>60</v>
      </c>
      <c r="AN9" s="217"/>
      <c r="AO9" s="217"/>
      <c r="AP9" s="179" t="e">
        <f t="shared" si="13"/>
        <v>#DIV/0!</v>
      </c>
      <c r="AQ9" s="179"/>
      <c r="AR9" s="179"/>
      <c r="AS9" s="179" t="e">
        <f t="shared" si="14"/>
        <v>#DIV/0!</v>
      </c>
      <c r="AT9" s="179"/>
      <c r="AU9" s="179"/>
      <c r="AV9" s="179" t="e">
        <f t="shared" si="15"/>
        <v>#DIV/0!</v>
      </c>
      <c r="AW9" s="179"/>
      <c r="AX9" s="179"/>
      <c r="AY9" s="179" t="e">
        <f t="shared" si="16"/>
        <v>#DIV/0!</v>
      </c>
      <c r="AZ9" s="282" t="e">
        <f t="shared" si="17"/>
        <v>#DIV/0!</v>
      </c>
    </row>
    <row r="10" spans="1:52" x14ac:dyDescent="0.35">
      <c r="A10" s="246">
        <f>D.SISWA!A10</f>
        <v>5</v>
      </c>
      <c r="B10" s="214">
        <f>D.SISWA!B10</f>
        <v>242501105</v>
      </c>
      <c r="C10" s="214" t="str">
        <f>D.SISWA!C10</f>
        <v>KHANSA AZRIZA</v>
      </c>
      <c r="D10" s="247" t="str">
        <f>D.SISWA!D10</f>
        <v>XI ACP</v>
      </c>
      <c r="E10" s="246">
        <v>2</v>
      </c>
      <c r="F10" s="217" t="str">
        <f t="shared" si="0"/>
        <v>60</v>
      </c>
      <c r="G10" s="217"/>
      <c r="H10" s="217"/>
      <c r="I10" s="179" t="e">
        <f t="shared" si="1"/>
        <v>#DIV/0!</v>
      </c>
      <c r="J10" s="179"/>
      <c r="K10" s="179"/>
      <c r="L10" s="179"/>
      <c r="M10" s="179" t="e">
        <f t="shared" si="2"/>
        <v>#DIV/0!</v>
      </c>
      <c r="N10" s="179"/>
      <c r="O10" s="179"/>
      <c r="P10" s="179" t="e">
        <f t="shared" si="3"/>
        <v>#DIV/0!</v>
      </c>
      <c r="Q10" s="179"/>
      <c r="R10" s="179"/>
      <c r="S10" s="179" t="e">
        <f t="shared" si="4"/>
        <v>#DIV/0!</v>
      </c>
      <c r="T10" s="282" t="e">
        <f t="shared" si="5"/>
        <v>#DIV/0!</v>
      </c>
      <c r="V10" s="246">
        <v>1</v>
      </c>
      <c r="W10" s="217" t="str">
        <f t="shared" si="6"/>
        <v>60</v>
      </c>
      <c r="X10" s="217"/>
      <c r="Y10" s="217"/>
      <c r="Z10" s="179" t="e">
        <f t="shared" si="7"/>
        <v>#DIV/0!</v>
      </c>
      <c r="AA10" s="179"/>
      <c r="AB10" s="179"/>
      <c r="AC10" s="179" t="e">
        <f t="shared" si="8"/>
        <v>#DIV/0!</v>
      </c>
      <c r="AD10" s="179"/>
      <c r="AE10" s="179"/>
      <c r="AF10" s="179" t="e">
        <f t="shared" si="9"/>
        <v>#DIV/0!</v>
      </c>
      <c r="AG10" s="179"/>
      <c r="AH10" s="179"/>
      <c r="AI10" s="179" t="e">
        <f t="shared" si="10"/>
        <v>#DIV/0!</v>
      </c>
      <c r="AJ10" s="282" t="e">
        <f t="shared" si="11"/>
        <v>#DIV/0!</v>
      </c>
      <c r="AL10" s="246">
        <v>1</v>
      </c>
      <c r="AM10" s="217" t="str">
        <f t="shared" si="12"/>
        <v>60</v>
      </c>
      <c r="AN10" s="217"/>
      <c r="AO10" s="217"/>
      <c r="AP10" s="179" t="e">
        <f t="shared" si="13"/>
        <v>#DIV/0!</v>
      </c>
      <c r="AQ10" s="179"/>
      <c r="AR10" s="179"/>
      <c r="AS10" s="179" t="e">
        <f t="shared" si="14"/>
        <v>#DIV/0!</v>
      </c>
      <c r="AT10" s="179"/>
      <c r="AU10" s="179"/>
      <c r="AV10" s="179" t="e">
        <f t="shared" si="15"/>
        <v>#DIV/0!</v>
      </c>
      <c r="AW10" s="179"/>
      <c r="AX10" s="179"/>
      <c r="AY10" s="179" t="e">
        <f t="shared" si="16"/>
        <v>#DIV/0!</v>
      </c>
      <c r="AZ10" s="282" t="e">
        <f t="shared" si="17"/>
        <v>#DIV/0!</v>
      </c>
    </row>
    <row r="11" spans="1:52" x14ac:dyDescent="0.35">
      <c r="A11" s="246">
        <f>D.SISWA!A11</f>
        <v>6</v>
      </c>
      <c r="B11" s="214">
        <f>D.SISWA!B11</f>
        <v>242501005</v>
      </c>
      <c r="C11" s="214" t="str">
        <f>D.SISWA!C11</f>
        <v>RAYA AULIA NAJMI</v>
      </c>
      <c r="D11" s="247" t="str">
        <f>D.SISWA!D11</f>
        <v>XI ACP</v>
      </c>
      <c r="E11" s="246">
        <v>1</v>
      </c>
      <c r="F11" s="217" t="str">
        <f t="shared" si="0"/>
        <v>60</v>
      </c>
      <c r="G11" s="217"/>
      <c r="H11" s="217"/>
      <c r="I11" s="179" t="e">
        <f t="shared" si="1"/>
        <v>#DIV/0!</v>
      </c>
      <c r="J11" s="179"/>
      <c r="K11" s="179"/>
      <c r="L11" s="179"/>
      <c r="M11" s="179" t="e">
        <f t="shared" si="2"/>
        <v>#DIV/0!</v>
      </c>
      <c r="N11" s="179"/>
      <c r="O11" s="179"/>
      <c r="P11" s="179" t="e">
        <f t="shared" si="3"/>
        <v>#DIV/0!</v>
      </c>
      <c r="Q11" s="179"/>
      <c r="R11" s="179"/>
      <c r="S11" s="179" t="e">
        <f t="shared" si="4"/>
        <v>#DIV/0!</v>
      </c>
      <c r="T11" s="282" t="e">
        <f t="shared" si="5"/>
        <v>#DIV/0!</v>
      </c>
      <c r="V11" s="246">
        <v>0</v>
      </c>
      <c r="W11" s="217" t="str">
        <f t="shared" si="6"/>
        <v>60</v>
      </c>
      <c r="X11" s="217"/>
      <c r="Y11" s="217"/>
      <c r="Z11" s="179" t="e">
        <f t="shared" si="7"/>
        <v>#DIV/0!</v>
      </c>
      <c r="AA11" s="179"/>
      <c r="AB11" s="179"/>
      <c r="AC11" s="179" t="e">
        <f t="shared" si="8"/>
        <v>#DIV/0!</v>
      </c>
      <c r="AD11" s="179"/>
      <c r="AE11" s="179"/>
      <c r="AF11" s="179" t="e">
        <f t="shared" si="9"/>
        <v>#DIV/0!</v>
      </c>
      <c r="AG11" s="179"/>
      <c r="AH11" s="179"/>
      <c r="AI11" s="179" t="e">
        <f t="shared" si="10"/>
        <v>#DIV/0!</v>
      </c>
      <c r="AJ11" s="282" t="e">
        <f t="shared" si="11"/>
        <v>#DIV/0!</v>
      </c>
      <c r="AL11" s="246">
        <v>0</v>
      </c>
      <c r="AM11" s="217" t="str">
        <f t="shared" si="12"/>
        <v>60</v>
      </c>
      <c r="AN11" s="217"/>
      <c r="AO11" s="217"/>
      <c r="AP11" s="179" t="e">
        <f t="shared" si="13"/>
        <v>#DIV/0!</v>
      </c>
      <c r="AQ11" s="179"/>
      <c r="AR11" s="179"/>
      <c r="AS11" s="179" t="e">
        <f t="shared" si="14"/>
        <v>#DIV/0!</v>
      </c>
      <c r="AT11" s="179"/>
      <c r="AU11" s="179"/>
      <c r="AV11" s="179" t="e">
        <f t="shared" si="15"/>
        <v>#DIV/0!</v>
      </c>
      <c r="AW11" s="179"/>
      <c r="AX11" s="179"/>
      <c r="AY11" s="179" t="e">
        <f t="shared" si="16"/>
        <v>#DIV/0!</v>
      </c>
      <c r="AZ11" s="282" t="e">
        <f t="shared" si="17"/>
        <v>#DIV/0!</v>
      </c>
    </row>
    <row r="12" spans="1:52" x14ac:dyDescent="0.35">
      <c r="A12" s="246">
        <f>D.SISWA!A12</f>
        <v>7</v>
      </c>
      <c r="B12" s="214">
        <f>D.SISWA!B12</f>
        <v>242501006</v>
      </c>
      <c r="C12" s="214" t="str">
        <f>D.SISWA!C12</f>
        <v>SARAH ANGGI APIKA Z</v>
      </c>
      <c r="D12" s="247" t="str">
        <f>D.SISWA!D12</f>
        <v>XI ACP</v>
      </c>
      <c r="E12" s="246">
        <v>1</v>
      </c>
      <c r="F12" s="217" t="str">
        <f t="shared" si="0"/>
        <v>60</v>
      </c>
      <c r="G12" s="217"/>
      <c r="H12" s="217"/>
      <c r="I12" s="179" t="e">
        <f t="shared" si="1"/>
        <v>#DIV/0!</v>
      </c>
      <c r="J12" s="179"/>
      <c r="K12" s="179"/>
      <c r="L12" s="179"/>
      <c r="M12" s="179" t="e">
        <f t="shared" si="2"/>
        <v>#DIV/0!</v>
      </c>
      <c r="N12" s="179"/>
      <c r="O12" s="179"/>
      <c r="P12" s="179" t="e">
        <f t="shared" si="3"/>
        <v>#DIV/0!</v>
      </c>
      <c r="Q12" s="179"/>
      <c r="R12" s="179"/>
      <c r="S12" s="179" t="e">
        <f t="shared" si="4"/>
        <v>#DIV/0!</v>
      </c>
      <c r="T12" s="282" t="e">
        <f t="shared" si="5"/>
        <v>#DIV/0!</v>
      </c>
      <c r="V12" s="246">
        <v>0</v>
      </c>
      <c r="W12" s="217" t="str">
        <f t="shared" si="6"/>
        <v>60</v>
      </c>
      <c r="X12" s="217"/>
      <c r="Y12" s="217"/>
      <c r="Z12" s="179" t="e">
        <f t="shared" si="7"/>
        <v>#DIV/0!</v>
      </c>
      <c r="AA12" s="179"/>
      <c r="AB12" s="179"/>
      <c r="AC12" s="179" t="e">
        <f t="shared" si="8"/>
        <v>#DIV/0!</v>
      </c>
      <c r="AD12" s="179"/>
      <c r="AE12" s="179"/>
      <c r="AF12" s="179" t="e">
        <f t="shared" si="9"/>
        <v>#DIV/0!</v>
      </c>
      <c r="AG12" s="179"/>
      <c r="AH12" s="179"/>
      <c r="AI12" s="179" t="e">
        <f t="shared" si="10"/>
        <v>#DIV/0!</v>
      </c>
      <c r="AJ12" s="282" t="e">
        <f t="shared" si="11"/>
        <v>#DIV/0!</v>
      </c>
      <c r="AL12" s="246">
        <v>0</v>
      </c>
      <c r="AM12" s="217" t="str">
        <f t="shared" si="12"/>
        <v>60</v>
      </c>
      <c r="AN12" s="217"/>
      <c r="AO12" s="217"/>
      <c r="AP12" s="179" t="e">
        <f t="shared" si="13"/>
        <v>#DIV/0!</v>
      </c>
      <c r="AQ12" s="179"/>
      <c r="AR12" s="179"/>
      <c r="AS12" s="179" t="e">
        <f t="shared" si="14"/>
        <v>#DIV/0!</v>
      </c>
      <c r="AT12" s="179"/>
      <c r="AU12" s="179"/>
      <c r="AV12" s="179" t="e">
        <f t="shared" si="15"/>
        <v>#DIV/0!</v>
      </c>
      <c r="AW12" s="179"/>
      <c r="AX12" s="179"/>
      <c r="AY12" s="179" t="e">
        <f t="shared" si="16"/>
        <v>#DIV/0!</v>
      </c>
      <c r="AZ12" s="282" t="e">
        <f t="shared" si="17"/>
        <v>#DIV/0!</v>
      </c>
    </row>
    <row r="13" spans="1:52" x14ac:dyDescent="0.35">
      <c r="A13" s="246">
        <f>D.SISWA!A13</f>
        <v>8</v>
      </c>
      <c r="B13" s="214">
        <f>D.SISWA!B13</f>
        <v>242501007</v>
      </c>
      <c r="C13" s="214" t="str">
        <f>D.SISWA!C13</f>
        <v>REINHART IMANUEL ARITONANG</v>
      </c>
      <c r="D13" s="247" t="str">
        <f>D.SISWA!D13</f>
        <v>XI ACP</v>
      </c>
      <c r="E13" s="246">
        <v>2</v>
      </c>
      <c r="F13" s="217" t="str">
        <f t="shared" si="0"/>
        <v>60</v>
      </c>
      <c r="G13" s="217"/>
      <c r="H13" s="217"/>
      <c r="I13" s="179" t="e">
        <f t="shared" si="1"/>
        <v>#DIV/0!</v>
      </c>
      <c r="J13" s="179"/>
      <c r="K13" s="179"/>
      <c r="L13" s="179"/>
      <c r="M13" s="179" t="e">
        <f t="shared" si="2"/>
        <v>#DIV/0!</v>
      </c>
      <c r="N13" s="179"/>
      <c r="O13" s="179"/>
      <c r="P13" s="179" t="e">
        <f t="shared" si="3"/>
        <v>#DIV/0!</v>
      </c>
      <c r="Q13" s="179"/>
      <c r="R13" s="179"/>
      <c r="S13" s="179" t="e">
        <f t="shared" si="4"/>
        <v>#DIV/0!</v>
      </c>
      <c r="T13" s="282" t="e">
        <f t="shared" si="5"/>
        <v>#DIV/0!</v>
      </c>
      <c r="V13" s="246">
        <v>1</v>
      </c>
      <c r="W13" s="217" t="str">
        <f t="shared" si="6"/>
        <v>60</v>
      </c>
      <c r="X13" s="217"/>
      <c r="Y13" s="217"/>
      <c r="Z13" s="179" t="e">
        <f t="shared" si="7"/>
        <v>#DIV/0!</v>
      </c>
      <c r="AA13" s="179"/>
      <c r="AB13" s="179"/>
      <c r="AC13" s="179" t="e">
        <f t="shared" si="8"/>
        <v>#DIV/0!</v>
      </c>
      <c r="AD13" s="179"/>
      <c r="AE13" s="179"/>
      <c r="AF13" s="179" t="e">
        <f t="shared" si="9"/>
        <v>#DIV/0!</v>
      </c>
      <c r="AG13" s="179"/>
      <c r="AH13" s="179"/>
      <c r="AI13" s="179" t="e">
        <f t="shared" si="10"/>
        <v>#DIV/0!</v>
      </c>
      <c r="AJ13" s="282" t="e">
        <f t="shared" si="11"/>
        <v>#DIV/0!</v>
      </c>
      <c r="AL13" s="246">
        <v>1</v>
      </c>
      <c r="AM13" s="217" t="str">
        <f t="shared" si="12"/>
        <v>60</v>
      </c>
      <c r="AN13" s="217"/>
      <c r="AO13" s="217"/>
      <c r="AP13" s="179" t="e">
        <f t="shared" si="13"/>
        <v>#DIV/0!</v>
      </c>
      <c r="AQ13" s="179"/>
      <c r="AR13" s="179"/>
      <c r="AS13" s="179" t="e">
        <f t="shared" si="14"/>
        <v>#DIV/0!</v>
      </c>
      <c r="AT13" s="179"/>
      <c r="AU13" s="179"/>
      <c r="AV13" s="179" t="e">
        <f t="shared" si="15"/>
        <v>#DIV/0!</v>
      </c>
      <c r="AW13" s="179"/>
      <c r="AX13" s="179"/>
      <c r="AY13" s="179" t="e">
        <f t="shared" si="16"/>
        <v>#DIV/0!</v>
      </c>
      <c r="AZ13" s="282" t="e">
        <f t="shared" si="17"/>
        <v>#DIV/0!</v>
      </c>
    </row>
    <row r="14" spans="1:52" x14ac:dyDescent="0.35">
      <c r="A14" s="246">
        <f>D.SISWA!A14</f>
        <v>9</v>
      </c>
      <c r="B14" s="214">
        <f>D.SISWA!B14</f>
        <v>242501008</v>
      </c>
      <c r="C14" s="214" t="str">
        <f>D.SISWA!C14</f>
        <v>RIVQI WILIAWAN</v>
      </c>
      <c r="D14" s="247" t="str">
        <f>D.SISWA!D14</f>
        <v>XI ACP</v>
      </c>
      <c r="E14" s="246">
        <v>2</v>
      </c>
      <c r="F14" s="217" t="str">
        <f t="shared" si="0"/>
        <v>60</v>
      </c>
      <c r="G14" s="217"/>
      <c r="H14" s="217"/>
      <c r="I14" s="179" t="e">
        <f t="shared" si="1"/>
        <v>#DIV/0!</v>
      </c>
      <c r="J14" s="179"/>
      <c r="K14" s="179"/>
      <c r="L14" s="179"/>
      <c r="M14" s="179" t="e">
        <f t="shared" si="2"/>
        <v>#DIV/0!</v>
      </c>
      <c r="N14" s="179"/>
      <c r="O14" s="179"/>
      <c r="P14" s="179" t="e">
        <f t="shared" si="3"/>
        <v>#DIV/0!</v>
      </c>
      <c r="Q14" s="179"/>
      <c r="R14" s="179"/>
      <c r="S14" s="179" t="e">
        <f t="shared" si="4"/>
        <v>#DIV/0!</v>
      </c>
      <c r="T14" s="282" t="e">
        <f t="shared" si="5"/>
        <v>#DIV/0!</v>
      </c>
      <c r="V14" s="246">
        <v>1</v>
      </c>
      <c r="W14" s="217" t="str">
        <f t="shared" si="6"/>
        <v>60</v>
      </c>
      <c r="X14" s="217"/>
      <c r="Y14" s="217"/>
      <c r="Z14" s="179" t="e">
        <f t="shared" si="7"/>
        <v>#DIV/0!</v>
      </c>
      <c r="AA14" s="179"/>
      <c r="AB14" s="179"/>
      <c r="AC14" s="179" t="e">
        <f t="shared" si="8"/>
        <v>#DIV/0!</v>
      </c>
      <c r="AD14" s="179"/>
      <c r="AE14" s="179"/>
      <c r="AF14" s="179" t="e">
        <f t="shared" si="9"/>
        <v>#DIV/0!</v>
      </c>
      <c r="AG14" s="179"/>
      <c r="AH14" s="179"/>
      <c r="AI14" s="179" t="e">
        <f t="shared" si="10"/>
        <v>#DIV/0!</v>
      </c>
      <c r="AJ14" s="282" t="e">
        <f t="shared" si="11"/>
        <v>#DIV/0!</v>
      </c>
      <c r="AL14" s="246">
        <v>1</v>
      </c>
      <c r="AM14" s="217" t="str">
        <f t="shared" si="12"/>
        <v>60</v>
      </c>
      <c r="AN14" s="217"/>
      <c r="AO14" s="217"/>
      <c r="AP14" s="179" t="e">
        <f t="shared" si="13"/>
        <v>#DIV/0!</v>
      </c>
      <c r="AQ14" s="179"/>
      <c r="AR14" s="179"/>
      <c r="AS14" s="179" t="e">
        <f t="shared" si="14"/>
        <v>#DIV/0!</v>
      </c>
      <c r="AT14" s="179"/>
      <c r="AU14" s="179"/>
      <c r="AV14" s="179" t="e">
        <f t="shared" si="15"/>
        <v>#DIV/0!</v>
      </c>
      <c r="AW14" s="179"/>
      <c r="AX14" s="179"/>
      <c r="AY14" s="179" t="e">
        <f t="shared" si="16"/>
        <v>#DIV/0!</v>
      </c>
      <c r="AZ14" s="282" t="e">
        <f t="shared" si="17"/>
        <v>#DIV/0!</v>
      </c>
    </row>
    <row r="15" spans="1:52" x14ac:dyDescent="0.35">
      <c r="A15" s="246">
        <f>D.SISWA!A15</f>
        <v>10</v>
      </c>
      <c r="B15" s="214">
        <f>D.SISWA!B15</f>
        <v>242502116</v>
      </c>
      <c r="C15" s="214" t="str">
        <f>D.SISWA!C15</f>
        <v>SRI RAHAYU</v>
      </c>
      <c r="D15" s="247" t="str">
        <f>D.SISWA!D15</f>
        <v>XI ACP</v>
      </c>
      <c r="E15" s="246">
        <v>2</v>
      </c>
      <c r="F15" s="217" t="str">
        <f t="shared" si="0"/>
        <v>60</v>
      </c>
      <c r="G15" s="217"/>
      <c r="H15" s="217"/>
      <c r="I15" s="179" t="e">
        <f t="shared" si="1"/>
        <v>#DIV/0!</v>
      </c>
      <c r="J15" s="179"/>
      <c r="K15" s="179"/>
      <c r="L15" s="179"/>
      <c r="M15" s="179" t="e">
        <f t="shared" si="2"/>
        <v>#DIV/0!</v>
      </c>
      <c r="N15" s="179"/>
      <c r="O15" s="179"/>
      <c r="P15" s="179" t="e">
        <f t="shared" si="3"/>
        <v>#DIV/0!</v>
      </c>
      <c r="Q15" s="179"/>
      <c r="R15" s="179"/>
      <c r="S15" s="179" t="e">
        <f t="shared" si="4"/>
        <v>#DIV/0!</v>
      </c>
      <c r="T15" s="282" t="e">
        <f t="shared" si="5"/>
        <v>#DIV/0!</v>
      </c>
      <c r="V15" s="246">
        <v>1</v>
      </c>
      <c r="W15" s="217" t="str">
        <f t="shared" si="6"/>
        <v>60</v>
      </c>
      <c r="X15" s="217"/>
      <c r="Y15" s="217"/>
      <c r="Z15" s="179" t="e">
        <f t="shared" si="7"/>
        <v>#DIV/0!</v>
      </c>
      <c r="AA15" s="179"/>
      <c r="AB15" s="179"/>
      <c r="AC15" s="179" t="e">
        <f t="shared" si="8"/>
        <v>#DIV/0!</v>
      </c>
      <c r="AD15" s="179"/>
      <c r="AE15" s="179"/>
      <c r="AF15" s="179" t="e">
        <f t="shared" si="9"/>
        <v>#DIV/0!</v>
      </c>
      <c r="AG15" s="179"/>
      <c r="AH15" s="179"/>
      <c r="AI15" s="179" t="e">
        <f t="shared" si="10"/>
        <v>#DIV/0!</v>
      </c>
      <c r="AJ15" s="282" t="e">
        <f t="shared" si="11"/>
        <v>#DIV/0!</v>
      </c>
      <c r="AL15" s="246">
        <v>1</v>
      </c>
      <c r="AM15" s="217" t="str">
        <f t="shared" si="12"/>
        <v>60</v>
      </c>
      <c r="AN15" s="217"/>
      <c r="AO15" s="217"/>
      <c r="AP15" s="179" t="e">
        <f t="shared" si="13"/>
        <v>#DIV/0!</v>
      </c>
      <c r="AQ15" s="179"/>
      <c r="AR15" s="179"/>
      <c r="AS15" s="179" t="e">
        <f t="shared" si="14"/>
        <v>#DIV/0!</v>
      </c>
      <c r="AT15" s="179"/>
      <c r="AU15" s="179"/>
      <c r="AV15" s="179" t="e">
        <f t="shared" si="15"/>
        <v>#DIV/0!</v>
      </c>
      <c r="AW15" s="179"/>
      <c r="AX15" s="179"/>
      <c r="AY15" s="179" t="e">
        <f t="shared" si="16"/>
        <v>#DIV/0!</v>
      </c>
      <c r="AZ15" s="282" t="e">
        <f t="shared" si="17"/>
        <v>#DIV/0!</v>
      </c>
    </row>
    <row r="16" spans="1:52" x14ac:dyDescent="0.35">
      <c r="A16" s="246">
        <f>D.SISWA!A16</f>
        <v>11</v>
      </c>
      <c r="B16" s="214">
        <f>D.SISWA!B16</f>
        <v>242501009</v>
      </c>
      <c r="C16" s="214" t="str">
        <f>D.SISWA!C16</f>
        <v>ZALZA BYLLA OKTAFEVIYANA</v>
      </c>
      <c r="D16" s="247" t="str">
        <f>D.SISWA!D16</f>
        <v>XI ACP</v>
      </c>
      <c r="E16" s="246">
        <v>2</v>
      </c>
      <c r="F16" s="217" t="str">
        <f t="shared" si="0"/>
        <v>60</v>
      </c>
      <c r="G16" s="217"/>
      <c r="H16" s="217"/>
      <c r="I16" s="179" t="e">
        <f t="shared" si="1"/>
        <v>#DIV/0!</v>
      </c>
      <c r="J16" s="179"/>
      <c r="K16" s="179"/>
      <c r="L16" s="179"/>
      <c r="M16" s="179" t="e">
        <f t="shared" si="2"/>
        <v>#DIV/0!</v>
      </c>
      <c r="N16" s="179"/>
      <c r="O16" s="179"/>
      <c r="P16" s="179" t="e">
        <f t="shared" si="3"/>
        <v>#DIV/0!</v>
      </c>
      <c r="Q16" s="179"/>
      <c r="R16" s="179"/>
      <c r="S16" s="179" t="e">
        <f t="shared" si="4"/>
        <v>#DIV/0!</v>
      </c>
      <c r="T16" s="282" t="e">
        <f t="shared" si="5"/>
        <v>#DIV/0!</v>
      </c>
      <c r="V16" s="246">
        <v>1</v>
      </c>
      <c r="W16" s="217" t="str">
        <f t="shared" si="6"/>
        <v>60</v>
      </c>
      <c r="X16" s="217"/>
      <c r="Y16" s="217"/>
      <c r="Z16" s="179" t="e">
        <f t="shared" si="7"/>
        <v>#DIV/0!</v>
      </c>
      <c r="AA16" s="179"/>
      <c r="AB16" s="179"/>
      <c r="AC16" s="179" t="e">
        <f t="shared" si="8"/>
        <v>#DIV/0!</v>
      </c>
      <c r="AD16" s="179"/>
      <c r="AE16" s="179"/>
      <c r="AF16" s="179" t="e">
        <f t="shared" si="9"/>
        <v>#DIV/0!</v>
      </c>
      <c r="AG16" s="179"/>
      <c r="AH16" s="179"/>
      <c r="AI16" s="179" t="e">
        <f t="shared" si="10"/>
        <v>#DIV/0!</v>
      </c>
      <c r="AJ16" s="282" t="e">
        <f t="shared" si="11"/>
        <v>#DIV/0!</v>
      </c>
      <c r="AL16" s="246">
        <v>1</v>
      </c>
      <c r="AM16" s="217" t="str">
        <f t="shared" si="12"/>
        <v>60</v>
      </c>
      <c r="AN16" s="217"/>
      <c r="AO16" s="217"/>
      <c r="AP16" s="179" t="e">
        <f t="shared" si="13"/>
        <v>#DIV/0!</v>
      </c>
      <c r="AQ16" s="179"/>
      <c r="AR16" s="179"/>
      <c r="AS16" s="179" t="e">
        <f t="shared" si="14"/>
        <v>#DIV/0!</v>
      </c>
      <c r="AT16" s="179"/>
      <c r="AU16" s="179"/>
      <c r="AV16" s="179" t="e">
        <f t="shared" si="15"/>
        <v>#DIV/0!</v>
      </c>
      <c r="AW16" s="179"/>
      <c r="AX16" s="179"/>
      <c r="AY16" s="179" t="e">
        <f t="shared" si="16"/>
        <v>#DIV/0!</v>
      </c>
      <c r="AZ16" s="282" t="e">
        <f t="shared" si="17"/>
        <v>#DIV/0!</v>
      </c>
    </row>
    <row r="17" spans="1:52" x14ac:dyDescent="0.35">
      <c r="A17" s="246">
        <f>D.SISWA!A17</f>
        <v>12</v>
      </c>
      <c r="B17" s="214">
        <f>D.SISWA!B17</f>
        <v>242501010</v>
      </c>
      <c r="C17" s="214" t="str">
        <f>D.SISWA!C17</f>
        <v>ABDUL EPAN</v>
      </c>
      <c r="D17" s="247" t="str">
        <f>D.SISWA!D17</f>
        <v>XI RPL</v>
      </c>
      <c r="E17" s="246">
        <v>5</v>
      </c>
      <c r="F17" s="217" t="str">
        <f t="shared" si="0"/>
        <v>60</v>
      </c>
      <c r="G17" s="217">
        <v>80</v>
      </c>
      <c r="H17" s="217">
        <v>82</v>
      </c>
      <c r="I17" s="179">
        <f t="shared" si="1"/>
        <v>81</v>
      </c>
      <c r="J17" s="179"/>
      <c r="K17" s="179"/>
      <c r="L17" s="179"/>
      <c r="M17" s="179" t="e">
        <f t="shared" si="2"/>
        <v>#DIV/0!</v>
      </c>
      <c r="N17" s="179"/>
      <c r="O17" s="179"/>
      <c r="P17" s="179" t="e">
        <f t="shared" si="3"/>
        <v>#DIV/0!</v>
      </c>
      <c r="Q17" s="179"/>
      <c r="R17" s="179"/>
      <c r="S17" s="179" t="e">
        <f t="shared" si="4"/>
        <v>#DIV/0!</v>
      </c>
      <c r="T17" s="282" t="e">
        <f>(0.4*F17)+(0.1*I17)+(0.2*M17)+(0.15*P17)+(0.15*S17)</f>
        <v>#DIV/0!</v>
      </c>
      <c r="V17" s="246">
        <v>1</v>
      </c>
      <c r="W17" s="217" t="str">
        <f t="shared" si="6"/>
        <v>60</v>
      </c>
      <c r="X17" s="217"/>
      <c r="Y17" s="217"/>
      <c r="Z17" s="179" t="e">
        <f t="shared" si="7"/>
        <v>#DIV/0!</v>
      </c>
      <c r="AA17" s="179"/>
      <c r="AB17" s="179"/>
      <c r="AC17" s="179" t="e">
        <f t="shared" si="8"/>
        <v>#DIV/0!</v>
      </c>
      <c r="AD17" s="179"/>
      <c r="AE17" s="179"/>
      <c r="AF17" s="179" t="e">
        <f t="shared" si="9"/>
        <v>#DIV/0!</v>
      </c>
      <c r="AG17" s="179"/>
      <c r="AH17" s="179"/>
      <c r="AI17" s="179" t="e">
        <f t="shared" si="10"/>
        <v>#DIV/0!</v>
      </c>
      <c r="AJ17" s="282" t="e">
        <f>(0.4*W17)+(0.1*Z17)+(0.2*AC17)+(0.15*AF17)+(0.15*AI17)</f>
        <v>#DIV/0!</v>
      </c>
      <c r="AL17" s="246"/>
      <c r="AM17" s="217" t="str">
        <f t="shared" si="12"/>
        <v>60</v>
      </c>
      <c r="AN17" s="217"/>
      <c r="AO17" s="217"/>
      <c r="AP17" s="179" t="e">
        <f t="shared" si="13"/>
        <v>#DIV/0!</v>
      </c>
      <c r="AQ17" s="179"/>
      <c r="AR17" s="179"/>
      <c r="AS17" s="179" t="e">
        <f t="shared" si="14"/>
        <v>#DIV/0!</v>
      </c>
      <c r="AT17" s="179"/>
      <c r="AU17" s="179"/>
      <c r="AV17" s="179" t="e">
        <f t="shared" si="15"/>
        <v>#DIV/0!</v>
      </c>
      <c r="AW17" s="179"/>
      <c r="AX17" s="179"/>
      <c r="AY17" s="179" t="e">
        <f t="shared" si="16"/>
        <v>#DIV/0!</v>
      </c>
      <c r="AZ17" s="282" t="e">
        <f>(0.4*AM17)+(0.1*AP17)+(0.2*AS17)+(0.15*AV17)+(0.15*AY17)</f>
        <v>#DIV/0!</v>
      </c>
    </row>
    <row r="18" spans="1:52" x14ac:dyDescent="0.35">
      <c r="A18" s="246">
        <f>D.SISWA!A18</f>
        <v>13</v>
      </c>
      <c r="B18" s="214">
        <f>D.SISWA!B18</f>
        <v>242501011</v>
      </c>
      <c r="C18" s="214" t="str">
        <f>D.SISWA!C18</f>
        <v>ALI SATRIYA BAYU</v>
      </c>
      <c r="D18" s="247" t="str">
        <f>D.SISWA!D18</f>
        <v>XI RPL</v>
      </c>
      <c r="E18" s="246">
        <v>5</v>
      </c>
      <c r="F18" s="217" t="str">
        <f t="shared" si="0"/>
        <v>60</v>
      </c>
      <c r="G18" s="217">
        <v>80</v>
      </c>
      <c r="H18" s="217">
        <v>80</v>
      </c>
      <c r="I18" s="179">
        <f t="shared" si="1"/>
        <v>80</v>
      </c>
      <c r="J18" s="179"/>
      <c r="K18" s="179"/>
      <c r="L18" s="179"/>
      <c r="M18" s="179" t="e">
        <f t="shared" si="2"/>
        <v>#DIV/0!</v>
      </c>
      <c r="N18" s="179"/>
      <c r="O18" s="179"/>
      <c r="P18" s="179" t="e">
        <f t="shared" si="3"/>
        <v>#DIV/0!</v>
      </c>
      <c r="Q18" s="179"/>
      <c r="R18" s="179"/>
      <c r="S18" s="179" t="e">
        <f t="shared" si="4"/>
        <v>#DIV/0!</v>
      </c>
      <c r="T18" s="282" t="e">
        <f t="shared" ref="T18:T50" si="18">(0.4*F18)+(0.1*I18)+(0.2*M18)+(0.15*P18)+(0.15*S18)</f>
        <v>#DIV/0!</v>
      </c>
      <c r="V18" s="246">
        <v>1</v>
      </c>
      <c r="W18" s="217" t="str">
        <f t="shared" si="6"/>
        <v>60</v>
      </c>
      <c r="X18" s="217"/>
      <c r="Y18" s="217"/>
      <c r="Z18" s="179" t="e">
        <f t="shared" si="7"/>
        <v>#DIV/0!</v>
      </c>
      <c r="AA18" s="179"/>
      <c r="AB18" s="179"/>
      <c r="AC18" s="179" t="e">
        <f t="shared" si="8"/>
        <v>#DIV/0!</v>
      </c>
      <c r="AD18" s="179"/>
      <c r="AE18" s="179"/>
      <c r="AF18" s="179" t="e">
        <f t="shared" si="9"/>
        <v>#DIV/0!</v>
      </c>
      <c r="AG18" s="179"/>
      <c r="AH18" s="179"/>
      <c r="AI18" s="179" t="e">
        <f t="shared" si="10"/>
        <v>#DIV/0!</v>
      </c>
      <c r="AJ18" s="282" t="e">
        <f t="shared" ref="AJ18:AJ50" si="19">(0.4*W18)+(0.1*Z18)+(0.2*AC18)+(0.15*AF18)+(0.15*AI18)</f>
        <v>#DIV/0!</v>
      </c>
      <c r="AL18" s="246"/>
      <c r="AM18" s="217" t="str">
        <f t="shared" si="12"/>
        <v>60</v>
      </c>
      <c r="AN18" s="217"/>
      <c r="AO18" s="217"/>
      <c r="AP18" s="179" t="e">
        <f t="shared" si="13"/>
        <v>#DIV/0!</v>
      </c>
      <c r="AQ18" s="179"/>
      <c r="AR18" s="179"/>
      <c r="AS18" s="179" t="e">
        <f t="shared" si="14"/>
        <v>#DIV/0!</v>
      </c>
      <c r="AT18" s="179"/>
      <c r="AU18" s="179"/>
      <c r="AV18" s="179" t="e">
        <f t="shared" si="15"/>
        <v>#DIV/0!</v>
      </c>
      <c r="AW18" s="179"/>
      <c r="AX18" s="179"/>
      <c r="AY18" s="179" t="e">
        <f t="shared" si="16"/>
        <v>#DIV/0!</v>
      </c>
      <c r="AZ18" s="282" t="e">
        <f t="shared" ref="AZ18:AZ50" si="20">(0.4*AM18)+(0.1*AP18)+(0.2*AS18)+(0.15*AV18)+(0.15*AY18)</f>
        <v>#DIV/0!</v>
      </c>
    </row>
    <row r="19" spans="1:52" x14ac:dyDescent="0.35">
      <c r="A19" s="246">
        <f>D.SISWA!A19</f>
        <v>14</v>
      </c>
      <c r="B19" s="214">
        <f>D.SISWA!B19</f>
        <v>242501012</v>
      </c>
      <c r="C19" s="214" t="str">
        <f>D.SISWA!C19</f>
        <v>DAVIN ARYA PUTRA</v>
      </c>
      <c r="D19" s="247" t="str">
        <f>D.SISWA!D19</f>
        <v>XI RPL</v>
      </c>
      <c r="E19" s="246">
        <v>3</v>
      </c>
      <c r="F19" s="217" t="str">
        <f t="shared" si="0"/>
        <v>60</v>
      </c>
      <c r="G19" s="217">
        <v>80</v>
      </c>
      <c r="H19" s="217">
        <v>82</v>
      </c>
      <c r="I19" s="179">
        <f t="shared" si="1"/>
        <v>81</v>
      </c>
      <c r="J19" s="179"/>
      <c r="K19" s="179"/>
      <c r="L19" s="179"/>
      <c r="M19" s="179" t="e">
        <f t="shared" si="2"/>
        <v>#DIV/0!</v>
      </c>
      <c r="N19" s="179"/>
      <c r="O19" s="179"/>
      <c r="P19" s="179" t="e">
        <f t="shared" si="3"/>
        <v>#DIV/0!</v>
      </c>
      <c r="Q19" s="179"/>
      <c r="R19" s="179"/>
      <c r="S19" s="179" t="e">
        <f t="shared" si="4"/>
        <v>#DIV/0!</v>
      </c>
      <c r="T19" s="282" t="e">
        <f t="shared" si="18"/>
        <v>#DIV/0!</v>
      </c>
      <c r="V19" s="246">
        <v>0</v>
      </c>
      <c r="W19" s="217" t="str">
        <f t="shared" si="6"/>
        <v>60</v>
      </c>
      <c r="X19" s="217"/>
      <c r="Y19" s="217"/>
      <c r="Z19" s="179" t="e">
        <f t="shared" si="7"/>
        <v>#DIV/0!</v>
      </c>
      <c r="AA19" s="179"/>
      <c r="AB19" s="179"/>
      <c r="AC19" s="179" t="e">
        <f t="shared" si="8"/>
        <v>#DIV/0!</v>
      </c>
      <c r="AD19" s="179"/>
      <c r="AE19" s="179"/>
      <c r="AF19" s="179" t="e">
        <f t="shared" si="9"/>
        <v>#DIV/0!</v>
      </c>
      <c r="AG19" s="179"/>
      <c r="AH19" s="179"/>
      <c r="AI19" s="179" t="e">
        <f t="shared" si="10"/>
        <v>#DIV/0!</v>
      </c>
      <c r="AJ19" s="282" t="e">
        <f t="shared" si="19"/>
        <v>#DIV/0!</v>
      </c>
      <c r="AL19" s="246"/>
      <c r="AM19" s="217" t="str">
        <f t="shared" si="12"/>
        <v>60</v>
      </c>
      <c r="AN19" s="217"/>
      <c r="AO19" s="217"/>
      <c r="AP19" s="179" t="e">
        <f t="shared" si="13"/>
        <v>#DIV/0!</v>
      </c>
      <c r="AQ19" s="179"/>
      <c r="AR19" s="179"/>
      <c r="AS19" s="179" t="e">
        <f t="shared" si="14"/>
        <v>#DIV/0!</v>
      </c>
      <c r="AT19" s="179"/>
      <c r="AU19" s="179"/>
      <c r="AV19" s="179" t="e">
        <f t="shared" si="15"/>
        <v>#DIV/0!</v>
      </c>
      <c r="AW19" s="179"/>
      <c r="AX19" s="179"/>
      <c r="AY19" s="179" t="e">
        <f t="shared" si="16"/>
        <v>#DIV/0!</v>
      </c>
      <c r="AZ19" s="282" t="e">
        <f t="shared" si="20"/>
        <v>#DIV/0!</v>
      </c>
    </row>
    <row r="20" spans="1:52" hidden="1" x14ac:dyDescent="0.35">
      <c r="A20" s="308">
        <f>D.SISWA!A20</f>
        <v>15</v>
      </c>
      <c r="B20" s="309">
        <f>D.SISWA!B20</f>
        <v>242501013</v>
      </c>
      <c r="C20" s="309" t="str">
        <f>D.SISWA!C20</f>
        <v>DEVANA APRILIYANO ALAMSYAH</v>
      </c>
      <c r="D20" s="310" t="str">
        <f>D.SISWA!D20</f>
        <v>XI RPL</v>
      </c>
      <c r="E20" s="308">
        <v>0</v>
      </c>
      <c r="F20" s="311" t="str">
        <f t="shared" si="0"/>
        <v>60</v>
      </c>
      <c r="G20" s="217"/>
      <c r="H20" s="217"/>
      <c r="I20" s="179" t="e">
        <f t="shared" si="1"/>
        <v>#DIV/0!</v>
      </c>
      <c r="J20" s="179"/>
      <c r="K20" s="179"/>
      <c r="L20" s="179"/>
      <c r="M20" s="179" t="e">
        <f t="shared" si="2"/>
        <v>#DIV/0!</v>
      </c>
      <c r="N20" s="179"/>
      <c r="O20" s="179"/>
      <c r="P20" s="179" t="e">
        <f t="shared" si="3"/>
        <v>#DIV/0!</v>
      </c>
      <c r="Q20" s="179"/>
      <c r="R20" s="179"/>
      <c r="S20" s="179" t="e">
        <f t="shared" si="4"/>
        <v>#DIV/0!</v>
      </c>
      <c r="T20" s="282" t="e">
        <f t="shared" si="18"/>
        <v>#DIV/0!</v>
      </c>
      <c r="V20" s="246">
        <v>1</v>
      </c>
      <c r="W20" s="217" t="str">
        <f t="shared" si="6"/>
        <v>60</v>
      </c>
      <c r="X20" s="217"/>
      <c r="Y20" s="217"/>
      <c r="Z20" s="179" t="e">
        <f t="shared" si="7"/>
        <v>#DIV/0!</v>
      </c>
      <c r="AA20" s="179"/>
      <c r="AB20" s="179"/>
      <c r="AC20" s="179" t="e">
        <f t="shared" si="8"/>
        <v>#DIV/0!</v>
      </c>
      <c r="AD20" s="179"/>
      <c r="AE20" s="179"/>
      <c r="AF20" s="179" t="e">
        <f t="shared" si="9"/>
        <v>#DIV/0!</v>
      </c>
      <c r="AG20" s="179"/>
      <c r="AH20" s="179"/>
      <c r="AI20" s="179" t="e">
        <f t="shared" si="10"/>
        <v>#DIV/0!</v>
      </c>
      <c r="AJ20" s="282" t="e">
        <f t="shared" si="19"/>
        <v>#DIV/0!</v>
      </c>
      <c r="AL20" s="246"/>
      <c r="AM20" s="217" t="str">
        <f t="shared" si="12"/>
        <v>60</v>
      </c>
      <c r="AN20" s="217"/>
      <c r="AO20" s="217"/>
      <c r="AP20" s="179" t="e">
        <f t="shared" si="13"/>
        <v>#DIV/0!</v>
      </c>
      <c r="AQ20" s="179"/>
      <c r="AR20" s="179"/>
      <c r="AS20" s="179" t="e">
        <f t="shared" si="14"/>
        <v>#DIV/0!</v>
      </c>
      <c r="AT20" s="179"/>
      <c r="AU20" s="179"/>
      <c r="AV20" s="179" t="e">
        <f t="shared" si="15"/>
        <v>#DIV/0!</v>
      </c>
      <c r="AW20" s="179"/>
      <c r="AX20" s="179"/>
      <c r="AY20" s="179" t="e">
        <f t="shared" si="16"/>
        <v>#DIV/0!</v>
      </c>
      <c r="AZ20" s="282" t="e">
        <f t="shared" si="20"/>
        <v>#DIV/0!</v>
      </c>
    </row>
    <row r="21" spans="1:52" x14ac:dyDescent="0.35">
      <c r="A21" s="246">
        <f>D.SISWA!A21</f>
        <v>16</v>
      </c>
      <c r="B21" s="214">
        <f>D.SISWA!B21</f>
        <v>242501014</v>
      </c>
      <c r="C21" s="214" t="str">
        <f>D.SISWA!C21</f>
        <v>EVANDRA NOER AREZKY</v>
      </c>
      <c r="D21" s="247" t="str">
        <f>D.SISWA!D21</f>
        <v>XI RPL</v>
      </c>
      <c r="E21" s="246">
        <v>4</v>
      </c>
      <c r="F21" s="217" t="str">
        <f t="shared" si="0"/>
        <v>60</v>
      </c>
      <c r="G21" s="217"/>
      <c r="H21" s="217"/>
      <c r="I21" s="179" t="e">
        <f t="shared" si="1"/>
        <v>#DIV/0!</v>
      </c>
      <c r="J21" s="179"/>
      <c r="K21" s="179"/>
      <c r="L21" s="179"/>
      <c r="M21" s="179" t="e">
        <f t="shared" si="2"/>
        <v>#DIV/0!</v>
      </c>
      <c r="N21" s="179"/>
      <c r="O21" s="179"/>
      <c r="P21" s="179" t="e">
        <f t="shared" si="3"/>
        <v>#DIV/0!</v>
      </c>
      <c r="Q21" s="179"/>
      <c r="R21" s="179"/>
      <c r="S21" s="179" t="e">
        <f t="shared" si="4"/>
        <v>#DIV/0!</v>
      </c>
      <c r="T21" s="282" t="e">
        <f t="shared" si="18"/>
        <v>#DIV/0!</v>
      </c>
      <c r="V21" s="246">
        <v>1</v>
      </c>
      <c r="W21" s="217" t="str">
        <f t="shared" si="6"/>
        <v>60</v>
      </c>
      <c r="X21" s="217"/>
      <c r="Y21" s="217"/>
      <c r="Z21" s="179" t="e">
        <f t="shared" si="7"/>
        <v>#DIV/0!</v>
      </c>
      <c r="AA21" s="179"/>
      <c r="AB21" s="179"/>
      <c r="AC21" s="179" t="e">
        <f t="shared" si="8"/>
        <v>#DIV/0!</v>
      </c>
      <c r="AD21" s="179"/>
      <c r="AE21" s="179"/>
      <c r="AF21" s="179" t="e">
        <f t="shared" si="9"/>
        <v>#DIV/0!</v>
      </c>
      <c r="AG21" s="179"/>
      <c r="AH21" s="179"/>
      <c r="AI21" s="179" t="e">
        <f t="shared" si="10"/>
        <v>#DIV/0!</v>
      </c>
      <c r="AJ21" s="282" t="e">
        <f t="shared" si="19"/>
        <v>#DIV/0!</v>
      </c>
      <c r="AL21" s="246"/>
      <c r="AM21" s="217" t="str">
        <f t="shared" si="12"/>
        <v>60</v>
      </c>
      <c r="AN21" s="217"/>
      <c r="AO21" s="217"/>
      <c r="AP21" s="179" t="e">
        <f t="shared" si="13"/>
        <v>#DIV/0!</v>
      </c>
      <c r="AQ21" s="179"/>
      <c r="AR21" s="179"/>
      <c r="AS21" s="179" t="e">
        <f t="shared" si="14"/>
        <v>#DIV/0!</v>
      </c>
      <c r="AT21" s="179"/>
      <c r="AU21" s="179"/>
      <c r="AV21" s="179" t="e">
        <f t="shared" si="15"/>
        <v>#DIV/0!</v>
      </c>
      <c r="AW21" s="179"/>
      <c r="AX21" s="179"/>
      <c r="AY21" s="179" t="e">
        <f t="shared" si="16"/>
        <v>#DIV/0!</v>
      </c>
      <c r="AZ21" s="282" t="e">
        <f t="shared" si="20"/>
        <v>#DIV/0!</v>
      </c>
    </row>
    <row r="22" spans="1:52" x14ac:dyDescent="0.35">
      <c r="A22" s="246">
        <f>D.SISWA!A22</f>
        <v>17</v>
      </c>
      <c r="B22" s="214">
        <f>D.SISWA!B22</f>
        <v>242501015</v>
      </c>
      <c r="C22" s="214" t="str">
        <f>D.SISWA!C22</f>
        <v>EZAR RADITYA GUNAWAN</v>
      </c>
      <c r="D22" s="247" t="str">
        <f>D.SISWA!D22</f>
        <v>XI RPL</v>
      </c>
      <c r="E22" s="246">
        <v>5</v>
      </c>
      <c r="F22" s="217" t="str">
        <f t="shared" si="0"/>
        <v>60</v>
      </c>
      <c r="G22" s="217"/>
      <c r="H22" s="217">
        <v>80</v>
      </c>
      <c r="I22" s="179">
        <f t="shared" si="1"/>
        <v>80</v>
      </c>
      <c r="J22" s="179"/>
      <c r="K22" s="179"/>
      <c r="L22" s="179"/>
      <c r="M22" s="179" t="e">
        <f t="shared" si="2"/>
        <v>#DIV/0!</v>
      </c>
      <c r="N22" s="179"/>
      <c r="O22" s="179"/>
      <c r="P22" s="179" t="e">
        <f t="shared" si="3"/>
        <v>#DIV/0!</v>
      </c>
      <c r="Q22" s="179"/>
      <c r="R22" s="179"/>
      <c r="S22" s="179" t="e">
        <f t="shared" si="4"/>
        <v>#DIV/0!</v>
      </c>
      <c r="T22" s="282" t="e">
        <f t="shared" si="18"/>
        <v>#DIV/0!</v>
      </c>
      <c r="V22" s="246">
        <v>1</v>
      </c>
      <c r="W22" s="217" t="str">
        <f t="shared" si="6"/>
        <v>60</v>
      </c>
      <c r="X22" s="217"/>
      <c r="Y22" s="217"/>
      <c r="Z22" s="179" t="e">
        <f t="shared" si="7"/>
        <v>#DIV/0!</v>
      </c>
      <c r="AA22" s="179"/>
      <c r="AB22" s="179"/>
      <c r="AC22" s="179" t="e">
        <f t="shared" si="8"/>
        <v>#DIV/0!</v>
      </c>
      <c r="AD22" s="179"/>
      <c r="AE22" s="179"/>
      <c r="AF22" s="179" t="e">
        <f t="shared" si="9"/>
        <v>#DIV/0!</v>
      </c>
      <c r="AG22" s="179"/>
      <c r="AH22" s="179"/>
      <c r="AI22" s="179" t="e">
        <f t="shared" si="10"/>
        <v>#DIV/0!</v>
      </c>
      <c r="AJ22" s="282" t="e">
        <f t="shared" si="19"/>
        <v>#DIV/0!</v>
      </c>
      <c r="AL22" s="246"/>
      <c r="AM22" s="217" t="str">
        <f t="shared" si="12"/>
        <v>60</v>
      </c>
      <c r="AN22" s="217"/>
      <c r="AO22" s="217"/>
      <c r="AP22" s="179" t="e">
        <f t="shared" si="13"/>
        <v>#DIV/0!</v>
      </c>
      <c r="AQ22" s="179"/>
      <c r="AR22" s="179"/>
      <c r="AS22" s="179" t="e">
        <f t="shared" si="14"/>
        <v>#DIV/0!</v>
      </c>
      <c r="AT22" s="179"/>
      <c r="AU22" s="179"/>
      <c r="AV22" s="179" t="e">
        <f t="shared" si="15"/>
        <v>#DIV/0!</v>
      </c>
      <c r="AW22" s="179"/>
      <c r="AX22" s="179"/>
      <c r="AY22" s="179" t="e">
        <f t="shared" si="16"/>
        <v>#DIV/0!</v>
      </c>
      <c r="AZ22" s="282" t="e">
        <f t="shared" si="20"/>
        <v>#DIV/0!</v>
      </c>
    </row>
    <row r="23" spans="1:52" x14ac:dyDescent="0.35">
      <c r="A23" s="246">
        <f>D.SISWA!A23</f>
        <v>18</v>
      </c>
      <c r="B23" s="214">
        <f>D.SISWA!B23</f>
        <v>242501016</v>
      </c>
      <c r="C23" s="214" t="str">
        <f>D.SISWA!C23</f>
        <v>FAHMI ABDULRAHMAN</v>
      </c>
      <c r="D23" s="247" t="str">
        <f>D.SISWA!D23</f>
        <v>XI RPL</v>
      </c>
      <c r="E23" s="246">
        <v>4</v>
      </c>
      <c r="F23" s="217" t="str">
        <f t="shared" si="0"/>
        <v>60</v>
      </c>
      <c r="G23" s="217">
        <v>80</v>
      </c>
      <c r="H23" s="217">
        <v>80</v>
      </c>
      <c r="I23" s="179">
        <f t="shared" si="1"/>
        <v>80</v>
      </c>
      <c r="J23" s="179"/>
      <c r="K23" s="179"/>
      <c r="L23" s="179"/>
      <c r="M23" s="179" t="e">
        <f t="shared" si="2"/>
        <v>#DIV/0!</v>
      </c>
      <c r="N23" s="179"/>
      <c r="O23" s="179"/>
      <c r="P23" s="179" t="e">
        <f t="shared" si="3"/>
        <v>#DIV/0!</v>
      </c>
      <c r="Q23" s="179"/>
      <c r="R23" s="179"/>
      <c r="S23" s="179" t="e">
        <f t="shared" si="4"/>
        <v>#DIV/0!</v>
      </c>
      <c r="T23" s="282" t="e">
        <f t="shared" si="18"/>
        <v>#DIV/0!</v>
      </c>
      <c r="V23" s="246">
        <v>1</v>
      </c>
      <c r="W23" s="217" t="str">
        <f t="shared" si="6"/>
        <v>60</v>
      </c>
      <c r="X23" s="217"/>
      <c r="Y23" s="217"/>
      <c r="Z23" s="179" t="e">
        <f t="shared" si="7"/>
        <v>#DIV/0!</v>
      </c>
      <c r="AA23" s="179"/>
      <c r="AB23" s="179"/>
      <c r="AC23" s="179" t="e">
        <f t="shared" si="8"/>
        <v>#DIV/0!</v>
      </c>
      <c r="AD23" s="179"/>
      <c r="AE23" s="179"/>
      <c r="AF23" s="179" t="e">
        <f t="shared" si="9"/>
        <v>#DIV/0!</v>
      </c>
      <c r="AG23" s="179"/>
      <c r="AH23" s="179"/>
      <c r="AI23" s="179" t="e">
        <f t="shared" si="10"/>
        <v>#DIV/0!</v>
      </c>
      <c r="AJ23" s="282" t="e">
        <f t="shared" si="19"/>
        <v>#DIV/0!</v>
      </c>
      <c r="AL23" s="246"/>
      <c r="AM23" s="217" t="str">
        <f t="shared" si="12"/>
        <v>60</v>
      </c>
      <c r="AN23" s="217"/>
      <c r="AO23" s="217"/>
      <c r="AP23" s="179" t="e">
        <f t="shared" si="13"/>
        <v>#DIV/0!</v>
      </c>
      <c r="AQ23" s="179"/>
      <c r="AR23" s="179"/>
      <c r="AS23" s="179" t="e">
        <f t="shared" si="14"/>
        <v>#DIV/0!</v>
      </c>
      <c r="AT23" s="179"/>
      <c r="AU23" s="179"/>
      <c r="AV23" s="179" t="e">
        <f t="shared" si="15"/>
        <v>#DIV/0!</v>
      </c>
      <c r="AW23" s="179"/>
      <c r="AX23" s="179"/>
      <c r="AY23" s="179" t="e">
        <f t="shared" si="16"/>
        <v>#DIV/0!</v>
      </c>
      <c r="AZ23" s="282" t="e">
        <f t="shared" si="20"/>
        <v>#DIV/0!</v>
      </c>
    </row>
    <row r="24" spans="1:52" x14ac:dyDescent="0.35">
      <c r="A24" s="246">
        <f>D.SISWA!A24</f>
        <v>19</v>
      </c>
      <c r="B24" s="214">
        <f>D.SISWA!B24</f>
        <v>242501017</v>
      </c>
      <c r="C24" s="214" t="str">
        <f>D.SISWA!C24</f>
        <v>FARIZ ALBA</v>
      </c>
      <c r="D24" s="247" t="str">
        <f>D.SISWA!D24</f>
        <v>XI RPL</v>
      </c>
      <c r="E24" s="246">
        <v>4</v>
      </c>
      <c r="F24" s="217" t="str">
        <f t="shared" si="0"/>
        <v>60</v>
      </c>
      <c r="G24" s="221">
        <v>80</v>
      </c>
      <c r="H24" s="221">
        <v>82</v>
      </c>
      <c r="I24" s="179">
        <f t="shared" si="1"/>
        <v>81</v>
      </c>
      <c r="J24" s="193"/>
      <c r="K24" s="193"/>
      <c r="L24" s="193"/>
      <c r="M24" s="193" t="e">
        <f t="shared" si="2"/>
        <v>#DIV/0!</v>
      </c>
      <c r="N24" s="193"/>
      <c r="O24" s="193"/>
      <c r="P24" s="193" t="e">
        <f t="shared" si="3"/>
        <v>#DIV/0!</v>
      </c>
      <c r="Q24" s="193"/>
      <c r="R24" s="193"/>
      <c r="S24" s="179" t="e">
        <f t="shared" si="4"/>
        <v>#DIV/0!</v>
      </c>
      <c r="T24" s="282" t="e">
        <f t="shared" si="18"/>
        <v>#DIV/0!</v>
      </c>
      <c r="V24" s="246">
        <v>0</v>
      </c>
      <c r="W24" s="217" t="str">
        <f t="shared" si="6"/>
        <v>60</v>
      </c>
      <c r="X24" s="221"/>
      <c r="Y24" s="221"/>
      <c r="Z24" s="193" t="e">
        <f t="shared" si="7"/>
        <v>#DIV/0!</v>
      </c>
      <c r="AA24" s="193"/>
      <c r="AB24" s="193"/>
      <c r="AC24" s="193" t="e">
        <f t="shared" si="8"/>
        <v>#DIV/0!</v>
      </c>
      <c r="AD24" s="193"/>
      <c r="AE24" s="193"/>
      <c r="AF24" s="193" t="e">
        <f t="shared" si="9"/>
        <v>#DIV/0!</v>
      </c>
      <c r="AG24" s="193"/>
      <c r="AH24" s="193"/>
      <c r="AI24" s="179" t="e">
        <f t="shared" si="10"/>
        <v>#DIV/0!</v>
      </c>
      <c r="AJ24" s="282" t="e">
        <f t="shared" si="19"/>
        <v>#DIV/0!</v>
      </c>
      <c r="AL24" s="248"/>
      <c r="AM24" s="217" t="str">
        <f t="shared" si="12"/>
        <v>60</v>
      </c>
      <c r="AN24" s="221"/>
      <c r="AO24" s="221"/>
      <c r="AP24" s="193" t="e">
        <f t="shared" si="13"/>
        <v>#DIV/0!</v>
      </c>
      <c r="AQ24" s="193"/>
      <c r="AR24" s="193"/>
      <c r="AS24" s="193" t="e">
        <f t="shared" si="14"/>
        <v>#DIV/0!</v>
      </c>
      <c r="AT24" s="193"/>
      <c r="AU24" s="193"/>
      <c r="AV24" s="193" t="e">
        <f t="shared" si="15"/>
        <v>#DIV/0!</v>
      </c>
      <c r="AW24" s="193"/>
      <c r="AX24" s="193"/>
      <c r="AY24" s="179" t="e">
        <f t="shared" si="16"/>
        <v>#DIV/0!</v>
      </c>
      <c r="AZ24" s="282" t="e">
        <f t="shared" si="20"/>
        <v>#DIV/0!</v>
      </c>
    </row>
    <row r="25" spans="1:52" x14ac:dyDescent="0.35">
      <c r="A25" s="246">
        <f>D.SISWA!A25</f>
        <v>20</v>
      </c>
      <c r="B25" s="214">
        <f>D.SISWA!B25</f>
        <v>242501018</v>
      </c>
      <c r="C25" s="214" t="str">
        <f>D.SISWA!C25</f>
        <v>GIA ANANDA SAFITRI</v>
      </c>
      <c r="D25" s="247" t="str">
        <f>D.SISWA!D25</f>
        <v>XI RPL</v>
      </c>
      <c r="E25" s="246">
        <v>4</v>
      </c>
      <c r="F25" s="217" t="str">
        <f t="shared" si="0"/>
        <v>60</v>
      </c>
      <c r="G25" s="217">
        <v>80</v>
      </c>
      <c r="H25" s="217"/>
      <c r="I25" s="179">
        <f t="shared" si="1"/>
        <v>80</v>
      </c>
      <c r="J25" s="179"/>
      <c r="K25" s="179"/>
      <c r="L25" s="179"/>
      <c r="M25" s="193" t="e">
        <f t="shared" si="2"/>
        <v>#DIV/0!</v>
      </c>
      <c r="N25" s="179"/>
      <c r="O25" s="179"/>
      <c r="P25" s="193" t="e">
        <f t="shared" si="3"/>
        <v>#DIV/0!</v>
      </c>
      <c r="Q25" s="179"/>
      <c r="R25" s="179"/>
      <c r="S25" s="179" t="e">
        <f t="shared" si="4"/>
        <v>#DIV/0!</v>
      </c>
      <c r="T25" s="282" t="e">
        <f t="shared" si="18"/>
        <v>#DIV/0!</v>
      </c>
      <c r="V25" s="246">
        <v>1</v>
      </c>
      <c r="W25" s="217" t="str">
        <f t="shared" si="6"/>
        <v>60</v>
      </c>
      <c r="X25" s="217"/>
      <c r="Y25" s="217"/>
      <c r="Z25" s="193" t="e">
        <f t="shared" si="7"/>
        <v>#DIV/0!</v>
      </c>
      <c r="AA25" s="179"/>
      <c r="AB25" s="179"/>
      <c r="AC25" s="193" t="e">
        <f t="shared" si="8"/>
        <v>#DIV/0!</v>
      </c>
      <c r="AD25" s="179"/>
      <c r="AE25" s="179"/>
      <c r="AF25" s="193" t="e">
        <f t="shared" si="9"/>
        <v>#DIV/0!</v>
      </c>
      <c r="AG25" s="179"/>
      <c r="AH25" s="179"/>
      <c r="AI25" s="179" t="e">
        <f t="shared" si="10"/>
        <v>#DIV/0!</v>
      </c>
      <c r="AJ25" s="282" t="e">
        <f t="shared" si="19"/>
        <v>#DIV/0!</v>
      </c>
      <c r="AL25" s="246"/>
      <c r="AM25" s="217" t="str">
        <f t="shared" si="12"/>
        <v>60</v>
      </c>
      <c r="AN25" s="217"/>
      <c r="AO25" s="217"/>
      <c r="AP25" s="193" t="e">
        <f t="shared" si="13"/>
        <v>#DIV/0!</v>
      </c>
      <c r="AQ25" s="179"/>
      <c r="AR25" s="179"/>
      <c r="AS25" s="193" t="e">
        <f t="shared" si="14"/>
        <v>#DIV/0!</v>
      </c>
      <c r="AT25" s="179"/>
      <c r="AU25" s="179"/>
      <c r="AV25" s="193" t="e">
        <f t="shared" si="15"/>
        <v>#DIV/0!</v>
      </c>
      <c r="AW25" s="179"/>
      <c r="AX25" s="179"/>
      <c r="AY25" s="179" t="e">
        <f t="shared" si="16"/>
        <v>#DIV/0!</v>
      </c>
      <c r="AZ25" s="282" t="e">
        <f t="shared" si="20"/>
        <v>#DIV/0!</v>
      </c>
    </row>
    <row r="26" spans="1:52" x14ac:dyDescent="0.35">
      <c r="A26" s="246">
        <f>D.SISWA!A26</f>
        <v>21</v>
      </c>
      <c r="B26" s="214">
        <f>D.SISWA!B26</f>
        <v>242501019</v>
      </c>
      <c r="C26" s="214" t="str">
        <f>D.SISWA!C26</f>
        <v>HAIKAL BUDIANSYAH</v>
      </c>
      <c r="D26" s="247" t="str">
        <f>D.SISWA!D26</f>
        <v>XI RPL</v>
      </c>
      <c r="E26" s="246">
        <v>4</v>
      </c>
      <c r="F26" s="217" t="str">
        <f t="shared" si="0"/>
        <v>60</v>
      </c>
      <c r="G26" s="217"/>
      <c r="H26" s="217">
        <v>80</v>
      </c>
      <c r="I26" s="179">
        <f t="shared" si="1"/>
        <v>80</v>
      </c>
      <c r="J26" s="179"/>
      <c r="K26" s="179"/>
      <c r="L26" s="179"/>
      <c r="M26" s="193" t="e">
        <f t="shared" si="2"/>
        <v>#DIV/0!</v>
      </c>
      <c r="N26" s="179"/>
      <c r="O26" s="179"/>
      <c r="P26" s="193" t="e">
        <f t="shared" si="3"/>
        <v>#DIV/0!</v>
      </c>
      <c r="Q26" s="179"/>
      <c r="R26" s="179"/>
      <c r="S26" s="179" t="e">
        <f t="shared" si="4"/>
        <v>#DIV/0!</v>
      </c>
      <c r="T26" s="282" t="e">
        <f t="shared" si="18"/>
        <v>#DIV/0!</v>
      </c>
      <c r="V26" s="246">
        <v>0</v>
      </c>
      <c r="W26" s="217" t="str">
        <f t="shared" si="6"/>
        <v>60</v>
      </c>
      <c r="X26" s="217"/>
      <c r="Y26" s="217"/>
      <c r="Z26" s="193" t="e">
        <f t="shared" si="7"/>
        <v>#DIV/0!</v>
      </c>
      <c r="AA26" s="179"/>
      <c r="AB26" s="179"/>
      <c r="AC26" s="193" t="e">
        <f t="shared" si="8"/>
        <v>#DIV/0!</v>
      </c>
      <c r="AD26" s="179"/>
      <c r="AE26" s="179"/>
      <c r="AF26" s="193" t="e">
        <f t="shared" si="9"/>
        <v>#DIV/0!</v>
      </c>
      <c r="AG26" s="179"/>
      <c r="AH26" s="179"/>
      <c r="AI26" s="179" t="e">
        <f t="shared" si="10"/>
        <v>#DIV/0!</v>
      </c>
      <c r="AJ26" s="282" t="e">
        <f t="shared" si="19"/>
        <v>#DIV/0!</v>
      </c>
      <c r="AL26" s="246"/>
      <c r="AM26" s="217" t="str">
        <f t="shared" si="12"/>
        <v>60</v>
      </c>
      <c r="AN26" s="217"/>
      <c r="AO26" s="217"/>
      <c r="AP26" s="193" t="e">
        <f t="shared" si="13"/>
        <v>#DIV/0!</v>
      </c>
      <c r="AQ26" s="179"/>
      <c r="AR26" s="179"/>
      <c r="AS26" s="193" t="e">
        <f t="shared" si="14"/>
        <v>#DIV/0!</v>
      </c>
      <c r="AT26" s="179"/>
      <c r="AU26" s="179"/>
      <c r="AV26" s="193" t="e">
        <f t="shared" si="15"/>
        <v>#DIV/0!</v>
      </c>
      <c r="AW26" s="179"/>
      <c r="AX26" s="179"/>
      <c r="AY26" s="179" t="e">
        <f t="shared" si="16"/>
        <v>#DIV/0!</v>
      </c>
      <c r="AZ26" s="282" t="e">
        <f t="shared" si="20"/>
        <v>#DIV/0!</v>
      </c>
    </row>
    <row r="27" spans="1:52" x14ac:dyDescent="0.35">
      <c r="A27" s="246">
        <f>D.SISWA!A27</f>
        <v>22</v>
      </c>
      <c r="B27" s="214">
        <f>D.SISWA!B27</f>
        <v>242501020</v>
      </c>
      <c r="C27" s="214" t="str">
        <f>D.SISWA!C27</f>
        <v>INDRI ANGGRAENI</v>
      </c>
      <c r="D27" s="247" t="str">
        <f>D.SISWA!D27</f>
        <v>XI RPL</v>
      </c>
      <c r="E27" s="246">
        <v>5</v>
      </c>
      <c r="F27" s="217" t="str">
        <f t="shared" si="0"/>
        <v>60</v>
      </c>
      <c r="G27" s="217">
        <v>80</v>
      </c>
      <c r="H27" s="217">
        <v>82</v>
      </c>
      <c r="I27" s="179">
        <f t="shared" si="1"/>
        <v>81</v>
      </c>
      <c r="J27" s="179"/>
      <c r="K27" s="179"/>
      <c r="L27" s="179"/>
      <c r="M27" s="193" t="e">
        <f t="shared" si="2"/>
        <v>#DIV/0!</v>
      </c>
      <c r="N27" s="179"/>
      <c r="O27" s="179"/>
      <c r="P27" s="193" t="e">
        <f t="shared" si="3"/>
        <v>#DIV/0!</v>
      </c>
      <c r="Q27" s="179"/>
      <c r="R27" s="179"/>
      <c r="S27" s="179" t="e">
        <f t="shared" si="4"/>
        <v>#DIV/0!</v>
      </c>
      <c r="T27" s="282" t="e">
        <f t="shared" si="18"/>
        <v>#DIV/0!</v>
      </c>
      <c r="V27" s="246">
        <v>1</v>
      </c>
      <c r="W27" s="217" t="str">
        <f t="shared" si="6"/>
        <v>60</v>
      </c>
      <c r="X27" s="217"/>
      <c r="Y27" s="217"/>
      <c r="Z27" s="193" t="e">
        <f t="shared" si="7"/>
        <v>#DIV/0!</v>
      </c>
      <c r="AA27" s="179"/>
      <c r="AB27" s="179"/>
      <c r="AC27" s="193" t="e">
        <f t="shared" si="8"/>
        <v>#DIV/0!</v>
      </c>
      <c r="AD27" s="179"/>
      <c r="AE27" s="179"/>
      <c r="AF27" s="193" t="e">
        <f t="shared" si="9"/>
        <v>#DIV/0!</v>
      </c>
      <c r="AG27" s="179"/>
      <c r="AH27" s="179"/>
      <c r="AI27" s="179" t="e">
        <f t="shared" si="10"/>
        <v>#DIV/0!</v>
      </c>
      <c r="AJ27" s="282" t="e">
        <f t="shared" si="19"/>
        <v>#DIV/0!</v>
      </c>
      <c r="AL27" s="246"/>
      <c r="AM27" s="217" t="str">
        <f t="shared" si="12"/>
        <v>60</v>
      </c>
      <c r="AN27" s="217"/>
      <c r="AO27" s="217"/>
      <c r="AP27" s="193" t="e">
        <f t="shared" si="13"/>
        <v>#DIV/0!</v>
      </c>
      <c r="AQ27" s="179"/>
      <c r="AR27" s="179"/>
      <c r="AS27" s="193" t="e">
        <f t="shared" si="14"/>
        <v>#DIV/0!</v>
      </c>
      <c r="AT27" s="179"/>
      <c r="AU27" s="179"/>
      <c r="AV27" s="193" t="e">
        <f t="shared" si="15"/>
        <v>#DIV/0!</v>
      </c>
      <c r="AW27" s="179"/>
      <c r="AX27" s="179"/>
      <c r="AY27" s="179" t="e">
        <f t="shared" si="16"/>
        <v>#DIV/0!</v>
      </c>
      <c r="AZ27" s="282" t="e">
        <f t="shared" si="20"/>
        <v>#DIV/0!</v>
      </c>
    </row>
    <row r="28" spans="1:52" x14ac:dyDescent="0.35">
      <c r="A28" s="246">
        <f>D.SISWA!A28</f>
        <v>23</v>
      </c>
      <c r="B28" s="214">
        <f>D.SISWA!B28</f>
        <v>242501021</v>
      </c>
      <c r="C28" s="214" t="str">
        <f>D.SISWA!C28</f>
        <v>INDRIYANI FITRIYASARI</v>
      </c>
      <c r="D28" s="247" t="str">
        <f>D.SISWA!D28</f>
        <v>XI RPL</v>
      </c>
      <c r="E28" s="246">
        <v>5</v>
      </c>
      <c r="F28" s="217" t="str">
        <f t="shared" si="0"/>
        <v>60</v>
      </c>
      <c r="G28" s="217">
        <v>80</v>
      </c>
      <c r="H28" s="217">
        <v>82</v>
      </c>
      <c r="I28" s="179">
        <f t="shared" si="1"/>
        <v>81</v>
      </c>
      <c r="J28" s="179"/>
      <c r="K28" s="179"/>
      <c r="L28" s="179"/>
      <c r="M28" s="193" t="e">
        <f t="shared" si="2"/>
        <v>#DIV/0!</v>
      </c>
      <c r="N28" s="179"/>
      <c r="O28" s="179"/>
      <c r="P28" s="193" t="e">
        <f t="shared" si="3"/>
        <v>#DIV/0!</v>
      </c>
      <c r="Q28" s="179"/>
      <c r="R28" s="179"/>
      <c r="S28" s="179" t="e">
        <f t="shared" si="4"/>
        <v>#DIV/0!</v>
      </c>
      <c r="T28" s="282" t="e">
        <f t="shared" si="18"/>
        <v>#DIV/0!</v>
      </c>
      <c r="V28" s="246">
        <v>1</v>
      </c>
      <c r="W28" s="217" t="str">
        <f t="shared" si="6"/>
        <v>60</v>
      </c>
      <c r="X28" s="217"/>
      <c r="Y28" s="217"/>
      <c r="Z28" s="193" t="e">
        <f t="shared" si="7"/>
        <v>#DIV/0!</v>
      </c>
      <c r="AA28" s="179"/>
      <c r="AB28" s="179"/>
      <c r="AC28" s="193" t="e">
        <f t="shared" si="8"/>
        <v>#DIV/0!</v>
      </c>
      <c r="AD28" s="179"/>
      <c r="AE28" s="179"/>
      <c r="AF28" s="193" t="e">
        <f t="shared" si="9"/>
        <v>#DIV/0!</v>
      </c>
      <c r="AG28" s="179"/>
      <c r="AH28" s="179"/>
      <c r="AI28" s="179" t="e">
        <f t="shared" si="10"/>
        <v>#DIV/0!</v>
      </c>
      <c r="AJ28" s="282" t="e">
        <f t="shared" si="19"/>
        <v>#DIV/0!</v>
      </c>
      <c r="AL28" s="246"/>
      <c r="AM28" s="217" t="str">
        <f t="shared" si="12"/>
        <v>60</v>
      </c>
      <c r="AN28" s="217"/>
      <c r="AO28" s="217"/>
      <c r="AP28" s="193" t="e">
        <f t="shared" si="13"/>
        <v>#DIV/0!</v>
      </c>
      <c r="AQ28" s="179"/>
      <c r="AR28" s="179"/>
      <c r="AS28" s="193" t="e">
        <f t="shared" si="14"/>
        <v>#DIV/0!</v>
      </c>
      <c r="AT28" s="179"/>
      <c r="AU28" s="179"/>
      <c r="AV28" s="193" t="e">
        <f t="shared" si="15"/>
        <v>#DIV/0!</v>
      </c>
      <c r="AW28" s="179"/>
      <c r="AX28" s="179"/>
      <c r="AY28" s="179" t="e">
        <f t="shared" si="16"/>
        <v>#DIV/0!</v>
      </c>
      <c r="AZ28" s="282" t="e">
        <f t="shared" si="20"/>
        <v>#DIV/0!</v>
      </c>
    </row>
    <row r="29" spans="1:52" x14ac:dyDescent="0.35">
      <c r="A29" s="246">
        <f>D.SISWA!A29</f>
        <v>24</v>
      </c>
      <c r="B29" s="214">
        <f>D.SISWA!B29</f>
        <v>242501022</v>
      </c>
      <c r="C29" s="214" t="str">
        <f>D.SISWA!C29</f>
        <v>JANPETER SEBASTIAN PANDIANGAN</v>
      </c>
      <c r="D29" s="247" t="str">
        <f>D.SISWA!D29</f>
        <v>XI RPL</v>
      </c>
      <c r="E29" s="246">
        <v>2</v>
      </c>
      <c r="F29" s="217" t="str">
        <f t="shared" si="0"/>
        <v>60</v>
      </c>
      <c r="G29" s="217"/>
      <c r="H29" s="217"/>
      <c r="I29" s="179" t="e">
        <f t="shared" si="1"/>
        <v>#DIV/0!</v>
      </c>
      <c r="J29" s="179"/>
      <c r="K29" s="179"/>
      <c r="L29" s="179"/>
      <c r="M29" s="193" t="e">
        <f t="shared" si="2"/>
        <v>#DIV/0!</v>
      </c>
      <c r="N29" s="179"/>
      <c r="O29" s="179"/>
      <c r="P29" s="193" t="e">
        <f t="shared" si="3"/>
        <v>#DIV/0!</v>
      </c>
      <c r="Q29" s="179"/>
      <c r="R29" s="179"/>
      <c r="S29" s="179" t="e">
        <f t="shared" si="4"/>
        <v>#DIV/0!</v>
      </c>
      <c r="T29" s="282" t="e">
        <f t="shared" si="18"/>
        <v>#DIV/0!</v>
      </c>
      <c r="V29" s="246">
        <v>0</v>
      </c>
      <c r="W29" s="217" t="str">
        <f t="shared" si="6"/>
        <v>60</v>
      </c>
      <c r="X29" s="217"/>
      <c r="Y29" s="217"/>
      <c r="Z29" s="193" t="e">
        <f t="shared" si="7"/>
        <v>#DIV/0!</v>
      </c>
      <c r="AA29" s="179"/>
      <c r="AB29" s="179"/>
      <c r="AC29" s="193" t="e">
        <f t="shared" si="8"/>
        <v>#DIV/0!</v>
      </c>
      <c r="AD29" s="179"/>
      <c r="AE29" s="179"/>
      <c r="AF29" s="193" t="e">
        <f t="shared" si="9"/>
        <v>#DIV/0!</v>
      </c>
      <c r="AG29" s="179"/>
      <c r="AH29" s="179"/>
      <c r="AI29" s="179" t="e">
        <f t="shared" si="10"/>
        <v>#DIV/0!</v>
      </c>
      <c r="AJ29" s="282" t="e">
        <f t="shared" si="19"/>
        <v>#DIV/0!</v>
      </c>
      <c r="AL29" s="246"/>
      <c r="AM29" s="217" t="str">
        <f t="shared" si="12"/>
        <v>60</v>
      </c>
      <c r="AN29" s="217"/>
      <c r="AO29" s="217"/>
      <c r="AP29" s="193" t="e">
        <f t="shared" si="13"/>
        <v>#DIV/0!</v>
      </c>
      <c r="AQ29" s="179"/>
      <c r="AR29" s="179"/>
      <c r="AS29" s="193" t="e">
        <f t="shared" si="14"/>
        <v>#DIV/0!</v>
      </c>
      <c r="AT29" s="179"/>
      <c r="AU29" s="179"/>
      <c r="AV29" s="193" t="e">
        <f t="shared" si="15"/>
        <v>#DIV/0!</v>
      </c>
      <c r="AW29" s="179"/>
      <c r="AX29" s="179"/>
      <c r="AY29" s="179" t="e">
        <f t="shared" si="16"/>
        <v>#DIV/0!</v>
      </c>
      <c r="AZ29" s="282" t="e">
        <f t="shared" si="20"/>
        <v>#DIV/0!</v>
      </c>
    </row>
    <row r="30" spans="1:52" x14ac:dyDescent="0.35">
      <c r="A30" s="246">
        <f>D.SISWA!A30</f>
        <v>25</v>
      </c>
      <c r="B30" s="214">
        <f>D.SISWA!B30</f>
        <v>242501023</v>
      </c>
      <c r="C30" s="214" t="str">
        <f>D.SISWA!C30</f>
        <v>KAYLA VEBRIYANA</v>
      </c>
      <c r="D30" s="247" t="str">
        <f>D.SISWA!D30</f>
        <v>XI RPL</v>
      </c>
      <c r="E30" s="246">
        <v>5</v>
      </c>
      <c r="F30" s="217" t="str">
        <f t="shared" si="0"/>
        <v>60</v>
      </c>
      <c r="G30" s="217">
        <v>80</v>
      </c>
      <c r="H30" s="217">
        <v>82</v>
      </c>
      <c r="I30" s="179">
        <f t="shared" si="1"/>
        <v>81</v>
      </c>
      <c r="J30" s="179"/>
      <c r="K30" s="179"/>
      <c r="L30" s="179"/>
      <c r="M30" s="193" t="e">
        <f t="shared" si="2"/>
        <v>#DIV/0!</v>
      </c>
      <c r="N30" s="179"/>
      <c r="O30" s="179"/>
      <c r="P30" s="193" t="e">
        <f t="shared" si="3"/>
        <v>#DIV/0!</v>
      </c>
      <c r="Q30" s="179"/>
      <c r="R30" s="179"/>
      <c r="S30" s="179" t="e">
        <f t="shared" si="4"/>
        <v>#DIV/0!</v>
      </c>
      <c r="T30" s="282" t="e">
        <f t="shared" si="18"/>
        <v>#DIV/0!</v>
      </c>
      <c r="V30" s="246">
        <v>1</v>
      </c>
      <c r="W30" s="217" t="str">
        <f t="shared" si="6"/>
        <v>60</v>
      </c>
      <c r="X30" s="217"/>
      <c r="Y30" s="217"/>
      <c r="Z30" s="193" t="e">
        <f t="shared" si="7"/>
        <v>#DIV/0!</v>
      </c>
      <c r="AA30" s="179"/>
      <c r="AB30" s="179"/>
      <c r="AC30" s="193" t="e">
        <f t="shared" si="8"/>
        <v>#DIV/0!</v>
      </c>
      <c r="AD30" s="179"/>
      <c r="AE30" s="179"/>
      <c r="AF30" s="193" t="e">
        <f t="shared" si="9"/>
        <v>#DIV/0!</v>
      </c>
      <c r="AG30" s="179"/>
      <c r="AH30" s="179"/>
      <c r="AI30" s="179" t="e">
        <f t="shared" si="10"/>
        <v>#DIV/0!</v>
      </c>
      <c r="AJ30" s="282" t="e">
        <f t="shared" si="19"/>
        <v>#DIV/0!</v>
      </c>
      <c r="AL30" s="246"/>
      <c r="AM30" s="217" t="str">
        <f t="shared" si="12"/>
        <v>60</v>
      </c>
      <c r="AN30" s="217"/>
      <c r="AO30" s="217"/>
      <c r="AP30" s="193" t="e">
        <f t="shared" si="13"/>
        <v>#DIV/0!</v>
      </c>
      <c r="AQ30" s="179"/>
      <c r="AR30" s="179"/>
      <c r="AS30" s="193" t="e">
        <f t="shared" si="14"/>
        <v>#DIV/0!</v>
      </c>
      <c r="AT30" s="179"/>
      <c r="AU30" s="179"/>
      <c r="AV30" s="193" t="e">
        <f t="shared" si="15"/>
        <v>#DIV/0!</v>
      </c>
      <c r="AW30" s="179"/>
      <c r="AX30" s="179"/>
      <c r="AY30" s="179" t="e">
        <f t="shared" si="16"/>
        <v>#DIV/0!</v>
      </c>
      <c r="AZ30" s="282" t="e">
        <f t="shared" si="20"/>
        <v>#DIV/0!</v>
      </c>
    </row>
    <row r="31" spans="1:52" x14ac:dyDescent="0.35">
      <c r="A31" s="246">
        <f>D.SISWA!A31</f>
        <v>26</v>
      </c>
      <c r="B31" s="214">
        <f>D.SISWA!B31</f>
        <v>242501024</v>
      </c>
      <c r="C31" s="214" t="str">
        <f>D.SISWA!C31</f>
        <v>KHAYYIRA HANIFA AZ-ZAHRA</v>
      </c>
      <c r="D31" s="247" t="str">
        <f>D.SISWA!D31</f>
        <v>XI RPL</v>
      </c>
      <c r="E31" s="246">
        <v>5</v>
      </c>
      <c r="F31" s="217" t="str">
        <f t="shared" si="0"/>
        <v>60</v>
      </c>
      <c r="G31" s="217">
        <v>80</v>
      </c>
      <c r="H31" s="217">
        <v>80</v>
      </c>
      <c r="I31" s="179">
        <f t="shared" si="1"/>
        <v>80</v>
      </c>
      <c r="J31" s="179"/>
      <c r="K31" s="179"/>
      <c r="L31" s="179"/>
      <c r="M31" s="193" t="e">
        <f t="shared" si="2"/>
        <v>#DIV/0!</v>
      </c>
      <c r="N31" s="179"/>
      <c r="O31" s="179"/>
      <c r="P31" s="193" t="e">
        <f t="shared" si="3"/>
        <v>#DIV/0!</v>
      </c>
      <c r="Q31" s="179"/>
      <c r="R31" s="179"/>
      <c r="S31" s="179" t="e">
        <f t="shared" si="4"/>
        <v>#DIV/0!</v>
      </c>
      <c r="T31" s="282" t="e">
        <f t="shared" si="18"/>
        <v>#DIV/0!</v>
      </c>
      <c r="V31" s="246">
        <v>1</v>
      </c>
      <c r="W31" s="217" t="str">
        <f t="shared" si="6"/>
        <v>60</v>
      </c>
      <c r="X31" s="217"/>
      <c r="Y31" s="217"/>
      <c r="Z31" s="193" t="e">
        <f t="shared" si="7"/>
        <v>#DIV/0!</v>
      </c>
      <c r="AA31" s="179"/>
      <c r="AB31" s="179"/>
      <c r="AC31" s="193" t="e">
        <f t="shared" si="8"/>
        <v>#DIV/0!</v>
      </c>
      <c r="AD31" s="179"/>
      <c r="AE31" s="179"/>
      <c r="AF31" s="193" t="e">
        <f t="shared" si="9"/>
        <v>#DIV/0!</v>
      </c>
      <c r="AG31" s="179"/>
      <c r="AH31" s="179"/>
      <c r="AI31" s="179" t="e">
        <f t="shared" si="10"/>
        <v>#DIV/0!</v>
      </c>
      <c r="AJ31" s="282" t="e">
        <f t="shared" si="19"/>
        <v>#DIV/0!</v>
      </c>
      <c r="AL31" s="246"/>
      <c r="AM31" s="217" t="str">
        <f t="shared" si="12"/>
        <v>60</v>
      </c>
      <c r="AN31" s="217"/>
      <c r="AO31" s="217"/>
      <c r="AP31" s="193" t="e">
        <f t="shared" si="13"/>
        <v>#DIV/0!</v>
      </c>
      <c r="AQ31" s="179"/>
      <c r="AR31" s="179"/>
      <c r="AS31" s="193" t="e">
        <f t="shared" si="14"/>
        <v>#DIV/0!</v>
      </c>
      <c r="AT31" s="179"/>
      <c r="AU31" s="179"/>
      <c r="AV31" s="193" t="e">
        <f t="shared" si="15"/>
        <v>#DIV/0!</v>
      </c>
      <c r="AW31" s="179"/>
      <c r="AX31" s="179"/>
      <c r="AY31" s="179" t="e">
        <f t="shared" si="16"/>
        <v>#DIV/0!</v>
      </c>
      <c r="AZ31" s="282" t="e">
        <f t="shared" si="20"/>
        <v>#DIV/0!</v>
      </c>
    </row>
    <row r="32" spans="1:52" x14ac:dyDescent="0.35">
      <c r="A32" s="246">
        <f>D.SISWA!A32</f>
        <v>27</v>
      </c>
      <c r="B32" s="214">
        <f>D.SISWA!B32</f>
        <v>242501026</v>
      </c>
      <c r="C32" s="214" t="str">
        <f>D.SISWA!C32</f>
        <v>M. RUSTANDI</v>
      </c>
      <c r="D32" s="247" t="str">
        <f>D.SISWA!D32</f>
        <v>XI RPL</v>
      </c>
      <c r="E32" s="246">
        <v>2</v>
      </c>
      <c r="F32" s="217" t="str">
        <f t="shared" si="0"/>
        <v>60</v>
      </c>
      <c r="G32" s="217"/>
      <c r="H32" s="217">
        <v>82</v>
      </c>
      <c r="I32" s="179">
        <f t="shared" si="1"/>
        <v>82</v>
      </c>
      <c r="J32" s="179"/>
      <c r="K32" s="179"/>
      <c r="L32" s="179"/>
      <c r="M32" s="193" t="e">
        <f t="shared" si="2"/>
        <v>#DIV/0!</v>
      </c>
      <c r="N32" s="179"/>
      <c r="O32" s="179"/>
      <c r="P32" s="193" t="e">
        <f t="shared" si="3"/>
        <v>#DIV/0!</v>
      </c>
      <c r="Q32" s="179"/>
      <c r="R32" s="179"/>
      <c r="S32" s="179" t="e">
        <f t="shared" si="4"/>
        <v>#DIV/0!</v>
      </c>
      <c r="T32" s="282" t="e">
        <f t="shared" si="18"/>
        <v>#DIV/0!</v>
      </c>
      <c r="V32" s="246">
        <v>0</v>
      </c>
      <c r="W32" s="217" t="str">
        <f t="shared" si="6"/>
        <v>60</v>
      </c>
      <c r="X32" s="217"/>
      <c r="Y32" s="217"/>
      <c r="Z32" s="193" t="e">
        <f t="shared" si="7"/>
        <v>#DIV/0!</v>
      </c>
      <c r="AA32" s="179"/>
      <c r="AB32" s="179"/>
      <c r="AC32" s="193" t="e">
        <f t="shared" si="8"/>
        <v>#DIV/0!</v>
      </c>
      <c r="AD32" s="179"/>
      <c r="AE32" s="179"/>
      <c r="AF32" s="193" t="e">
        <f t="shared" si="9"/>
        <v>#DIV/0!</v>
      </c>
      <c r="AG32" s="179"/>
      <c r="AH32" s="179"/>
      <c r="AI32" s="179" t="e">
        <f t="shared" si="10"/>
        <v>#DIV/0!</v>
      </c>
      <c r="AJ32" s="282" t="e">
        <f t="shared" si="19"/>
        <v>#DIV/0!</v>
      </c>
      <c r="AL32" s="246"/>
      <c r="AM32" s="217" t="str">
        <f t="shared" si="12"/>
        <v>60</v>
      </c>
      <c r="AN32" s="217"/>
      <c r="AO32" s="217"/>
      <c r="AP32" s="193" t="e">
        <f t="shared" si="13"/>
        <v>#DIV/0!</v>
      </c>
      <c r="AQ32" s="179"/>
      <c r="AR32" s="179"/>
      <c r="AS32" s="193" t="e">
        <f t="shared" si="14"/>
        <v>#DIV/0!</v>
      </c>
      <c r="AT32" s="179"/>
      <c r="AU32" s="179"/>
      <c r="AV32" s="193" t="e">
        <f t="shared" si="15"/>
        <v>#DIV/0!</v>
      </c>
      <c r="AW32" s="179"/>
      <c r="AX32" s="179"/>
      <c r="AY32" s="179" t="e">
        <f t="shared" si="16"/>
        <v>#DIV/0!</v>
      </c>
      <c r="AZ32" s="282" t="e">
        <f t="shared" si="20"/>
        <v>#DIV/0!</v>
      </c>
    </row>
    <row r="33" spans="1:52" x14ac:dyDescent="0.35">
      <c r="A33" s="246">
        <f>D.SISWA!A33</f>
        <v>28</v>
      </c>
      <c r="B33" s="214">
        <f>D.SISWA!B33</f>
        <v>242501027</v>
      </c>
      <c r="C33" s="214" t="str">
        <f>D.SISWA!C33</f>
        <v>MARISA</v>
      </c>
      <c r="D33" s="247" t="str">
        <f>D.SISWA!D33</f>
        <v>XI RPL</v>
      </c>
      <c r="E33" s="246">
        <v>5</v>
      </c>
      <c r="F33" s="217" t="str">
        <f t="shared" si="0"/>
        <v>60</v>
      </c>
      <c r="G33" s="217">
        <v>80</v>
      </c>
      <c r="H33" s="217">
        <v>80</v>
      </c>
      <c r="I33" s="179">
        <f t="shared" si="1"/>
        <v>80</v>
      </c>
      <c r="J33" s="179"/>
      <c r="K33" s="179"/>
      <c r="L33" s="179"/>
      <c r="M33" s="193" t="e">
        <f t="shared" si="2"/>
        <v>#DIV/0!</v>
      </c>
      <c r="N33" s="179"/>
      <c r="O33" s="179"/>
      <c r="P33" s="193" t="e">
        <f t="shared" si="3"/>
        <v>#DIV/0!</v>
      </c>
      <c r="Q33" s="179"/>
      <c r="R33" s="179"/>
      <c r="S33" s="179" t="e">
        <f t="shared" si="4"/>
        <v>#DIV/0!</v>
      </c>
      <c r="T33" s="282" t="e">
        <f t="shared" si="18"/>
        <v>#DIV/0!</v>
      </c>
      <c r="V33" s="246">
        <v>1</v>
      </c>
      <c r="W33" s="217" t="str">
        <f t="shared" si="6"/>
        <v>60</v>
      </c>
      <c r="X33" s="217"/>
      <c r="Y33" s="217"/>
      <c r="Z33" s="193" t="e">
        <f t="shared" si="7"/>
        <v>#DIV/0!</v>
      </c>
      <c r="AA33" s="179"/>
      <c r="AB33" s="179"/>
      <c r="AC33" s="193" t="e">
        <f t="shared" si="8"/>
        <v>#DIV/0!</v>
      </c>
      <c r="AD33" s="179"/>
      <c r="AE33" s="179"/>
      <c r="AF33" s="193" t="e">
        <f t="shared" si="9"/>
        <v>#DIV/0!</v>
      </c>
      <c r="AG33" s="179"/>
      <c r="AH33" s="179"/>
      <c r="AI33" s="179" t="e">
        <f t="shared" si="10"/>
        <v>#DIV/0!</v>
      </c>
      <c r="AJ33" s="282" t="e">
        <f t="shared" si="19"/>
        <v>#DIV/0!</v>
      </c>
      <c r="AL33" s="246"/>
      <c r="AM33" s="217" t="str">
        <f t="shared" si="12"/>
        <v>60</v>
      </c>
      <c r="AN33" s="217"/>
      <c r="AO33" s="217"/>
      <c r="AP33" s="193" t="e">
        <f t="shared" si="13"/>
        <v>#DIV/0!</v>
      </c>
      <c r="AQ33" s="179"/>
      <c r="AR33" s="179"/>
      <c r="AS33" s="193" t="e">
        <f t="shared" si="14"/>
        <v>#DIV/0!</v>
      </c>
      <c r="AT33" s="179"/>
      <c r="AU33" s="179"/>
      <c r="AV33" s="193" t="e">
        <f t="shared" si="15"/>
        <v>#DIV/0!</v>
      </c>
      <c r="AW33" s="179"/>
      <c r="AX33" s="179"/>
      <c r="AY33" s="179" t="e">
        <f t="shared" si="16"/>
        <v>#DIV/0!</v>
      </c>
      <c r="AZ33" s="282" t="e">
        <f t="shared" si="20"/>
        <v>#DIV/0!</v>
      </c>
    </row>
    <row r="34" spans="1:52" x14ac:dyDescent="0.35">
      <c r="A34" s="246">
        <f>D.SISWA!A34</f>
        <v>29</v>
      </c>
      <c r="B34" s="214">
        <f>D.SISWA!B34</f>
        <v>242501028</v>
      </c>
      <c r="C34" s="214" t="str">
        <f>D.SISWA!C34</f>
        <v>MOCH PAISAL LUTHFI</v>
      </c>
      <c r="D34" s="247" t="str">
        <f>D.SISWA!D34</f>
        <v>XI RPL</v>
      </c>
      <c r="E34" s="246">
        <v>4</v>
      </c>
      <c r="F34" s="217" t="str">
        <f t="shared" si="0"/>
        <v>60</v>
      </c>
      <c r="G34" s="217"/>
      <c r="H34" s="217">
        <v>80</v>
      </c>
      <c r="I34" s="179">
        <f t="shared" si="1"/>
        <v>80</v>
      </c>
      <c r="J34" s="179"/>
      <c r="K34" s="179"/>
      <c r="L34" s="179"/>
      <c r="M34" s="193" t="e">
        <f t="shared" si="2"/>
        <v>#DIV/0!</v>
      </c>
      <c r="N34" s="179"/>
      <c r="O34" s="179"/>
      <c r="P34" s="193" t="e">
        <f t="shared" si="3"/>
        <v>#DIV/0!</v>
      </c>
      <c r="Q34" s="179"/>
      <c r="R34" s="179"/>
      <c r="S34" s="179" t="e">
        <f t="shared" si="4"/>
        <v>#DIV/0!</v>
      </c>
      <c r="T34" s="282" t="e">
        <f t="shared" si="18"/>
        <v>#DIV/0!</v>
      </c>
      <c r="V34" s="246">
        <v>0</v>
      </c>
      <c r="W34" s="217" t="str">
        <f t="shared" si="6"/>
        <v>60</v>
      </c>
      <c r="X34" s="217"/>
      <c r="Y34" s="217"/>
      <c r="Z34" s="193" t="e">
        <f t="shared" si="7"/>
        <v>#DIV/0!</v>
      </c>
      <c r="AA34" s="179"/>
      <c r="AB34" s="179"/>
      <c r="AC34" s="193" t="e">
        <f t="shared" si="8"/>
        <v>#DIV/0!</v>
      </c>
      <c r="AD34" s="179"/>
      <c r="AE34" s="179"/>
      <c r="AF34" s="193" t="e">
        <f t="shared" si="9"/>
        <v>#DIV/0!</v>
      </c>
      <c r="AG34" s="179"/>
      <c r="AH34" s="179"/>
      <c r="AI34" s="179" t="e">
        <f t="shared" si="10"/>
        <v>#DIV/0!</v>
      </c>
      <c r="AJ34" s="282" t="e">
        <f t="shared" si="19"/>
        <v>#DIV/0!</v>
      </c>
      <c r="AL34" s="246"/>
      <c r="AM34" s="217" t="str">
        <f t="shared" si="12"/>
        <v>60</v>
      </c>
      <c r="AN34" s="217"/>
      <c r="AO34" s="217"/>
      <c r="AP34" s="193" t="e">
        <f t="shared" si="13"/>
        <v>#DIV/0!</v>
      </c>
      <c r="AQ34" s="179"/>
      <c r="AR34" s="179"/>
      <c r="AS34" s="193" t="e">
        <f t="shared" si="14"/>
        <v>#DIV/0!</v>
      </c>
      <c r="AT34" s="179"/>
      <c r="AU34" s="179"/>
      <c r="AV34" s="193" t="e">
        <f t="shared" si="15"/>
        <v>#DIV/0!</v>
      </c>
      <c r="AW34" s="179"/>
      <c r="AX34" s="179"/>
      <c r="AY34" s="179" t="e">
        <f t="shared" si="16"/>
        <v>#DIV/0!</v>
      </c>
      <c r="AZ34" s="282" t="e">
        <f t="shared" si="20"/>
        <v>#DIV/0!</v>
      </c>
    </row>
    <row r="35" spans="1:52" x14ac:dyDescent="0.35">
      <c r="A35" s="246">
        <f>D.SISWA!A35</f>
        <v>30</v>
      </c>
      <c r="B35" s="214">
        <f>D.SISWA!B35</f>
        <v>242501030</v>
      </c>
      <c r="C35" s="214" t="str">
        <f>D.SISWA!C35</f>
        <v>MUHAMAD LUGI ALPARIZI</v>
      </c>
      <c r="D35" s="247" t="str">
        <f>D.SISWA!D35</f>
        <v>XI RPL</v>
      </c>
      <c r="E35" s="246">
        <v>5</v>
      </c>
      <c r="F35" s="217" t="str">
        <f t="shared" si="0"/>
        <v>60</v>
      </c>
      <c r="G35" s="217">
        <v>80</v>
      </c>
      <c r="H35" s="217">
        <v>80</v>
      </c>
      <c r="I35" s="179">
        <f t="shared" si="1"/>
        <v>80</v>
      </c>
      <c r="J35" s="179"/>
      <c r="K35" s="179"/>
      <c r="L35" s="179"/>
      <c r="M35" s="193" t="e">
        <f t="shared" si="2"/>
        <v>#DIV/0!</v>
      </c>
      <c r="N35" s="179"/>
      <c r="O35" s="179"/>
      <c r="P35" s="193" t="e">
        <f t="shared" si="3"/>
        <v>#DIV/0!</v>
      </c>
      <c r="Q35" s="179"/>
      <c r="R35" s="179"/>
      <c r="S35" s="179" t="e">
        <f t="shared" si="4"/>
        <v>#DIV/0!</v>
      </c>
      <c r="T35" s="282" t="e">
        <f t="shared" si="18"/>
        <v>#DIV/0!</v>
      </c>
      <c r="V35" s="246">
        <v>1</v>
      </c>
      <c r="W35" s="217" t="str">
        <f t="shared" si="6"/>
        <v>60</v>
      </c>
      <c r="X35" s="217"/>
      <c r="Y35" s="217"/>
      <c r="Z35" s="193" t="e">
        <f t="shared" si="7"/>
        <v>#DIV/0!</v>
      </c>
      <c r="AA35" s="179"/>
      <c r="AB35" s="179"/>
      <c r="AC35" s="193" t="e">
        <f t="shared" si="8"/>
        <v>#DIV/0!</v>
      </c>
      <c r="AD35" s="179"/>
      <c r="AE35" s="179"/>
      <c r="AF35" s="193" t="e">
        <f t="shared" si="9"/>
        <v>#DIV/0!</v>
      </c>
      <c r="AG35" s="179"/>
      <c r="AH35" s="179"/>
      <c r="AI35" s="179" t="e">
        <f t="shared" si="10"/>
        <v>#DIV/0!</v>
      </c>
      <c r="AJ35" s="282" t="e">
        <f t="shared" si="19"/>
        <v>#DIV/0!</v>
      </c>
      <c r="AL35" s="246"/>
      <c r="AM35" s="217" t="str">
        <f t="shared" si="12"/>
        <v>60</v>
      </c>
      <c r="AN35" s="217"/>
      <c r="AO35" s="217"/>
      <c r="AP35" s="193" t="e">
        <f t="shared" si="13"/>
        <v>#DIV/0!</v>
      </c>
      <c r="AQ35" s="179"/>
      <c r="AR35" s="179"/>
      <c r="AS35" s="193" t="e">
        <f t="shared" si="14"/>
        <v>#DIV/0!</v>
      </c>
      <c r="AT35" s="179"/>
      <c r="AU35" s="179"/>
      <c r="AV35" s="193" t="e">
        <f t="shared" si="15"/>
        <v>#DIV/0!</v>
      </c>
      <c r="AW35" s="179"/>
      <c r="AX35" s="179"/>
      <c r="AY35" s="179" t="e">
        <f t="shared" si="16"/>
        <v>#DIV/0!</v>
      </c>
      <c r="AZ35" s="282" t="e">
        <f t="shared" si="20"/>
        <v>#DIV/0!</v>
      </c>
    </row>
    <row r="36" spans="1:52" x14ac:dyDescent="0.35">
      <c r="A36" s="246">
        <f>D.SISWA!A36</f>
        <v>31</v>
      </c>
      <c r="B36" s="214">
        <f>D.SISWA!B36</f>
        <v>242501031</v>
      </c>
      <c r="C36" s="214" t="str">
        <f>D.SISWA!C36</f>
        <v>MUHAMMAD BILAL ALHABSY</v>
      </c>
      <c r="D36" s="247" t="str">
        <f>D.SISWA!D36</f>
        <v>XI RPL</v>
      </c>
      <c r="E36" s="246">
        <v>2</v>
      </c>
      <c r="F36" s="217" t="str">
        <f t="shared" si="0"/>
        <v>60</v>
      </c>
      <c r="G36" s="217"/>
      <c r="H36" s="217">
        <v>80</v>
      </c>
      <c r="I36" s="179">
        <f t="shared" si="1"/>
        <v>80</v>
      </c>
      <c r="J36" s="179"/>
      <c r="K36" s="179"/>
      <c r="L36" s="179"/>
      <c r="M36" s="193" t="e">
        <f t="shared" si="2"/>
        <v>#DIV/0!</v>
      </c>
      <c r="N36" s="179"/>
      <c r="O36" s="179"/>
      <c r="P36" s="193" t="e">
        <f t="shared" si="3"/>
        <v>#DIV/0!</v>
      </c>
      <c r="Q36" s="179"/>
      <c r="R36" s="179"/>
      <c r="S36" s="179" t="e">
        <f t="shared" si="4"/>
        <v>#DIV/0!</v>
      </c>
      <c r="T36" s="282" t="e">
        <f t="shared" si="18"/>
        <v>#DIV/0!</v>
      </c>
      <c r="V36" s="246">
        <v>1</v>
      </c>
      <c r="W36" s="217" t="str">
        <f t="shared" si="6"/>
        <v>60</v>
      </c>
      <c r="X36" s="217"/>
      <c r="Y36" s="217"/>
      <c r="Z36" s="193" t="e">
        <f t="shared" si="7"/>
        <v>#DIV/0!</v>
      </c>
      <c r="AA36" s="179"/>
      <c r="AB36" s="179"/>
      <c r="AC36" s="193" t="e">
        <f t="shared" si="8"/>
        <v>#DIV/0!</v>
      </c>
      <c r="AD36" s="179"/>
      <c r="AE36" s="179"/>
      <c r="AF36" s="193" t="e">
        <f t="shared" si="9"/>
        <v>#DIV/0!</v>
      </c>
      <c r="AG36" s="179"/>
      <c r="AH36" s="179"/>
      <c r="AI36" s="179" t="e">
        <f t="shared" si="10"/>
        <v>#DIV/0!</v>
      </c>
      <c r="AJ36" s="282" t="e">
        <f t="shared" si="19"/>
        <v>#DIV/0!</v>
      </c>
      <c r="AL36" s="246"/>
      <c r="AM36" s="217" t="str">
        <f t="shared" si="12"/>
        <v>60</v>
      </c>
      <c r="AN36" s="217"/>
      <c r="AO36" s="217"/>
      <c r="AP36" s="193" t="e">
        <f t="shared" si="13"/>
        <v>#DIV/0!</v>
      </c>
      <c r="AQ36" s="179"/>
      <c r="AR36" s="179"/>
      <c r="AS36" s="193" t="e">
        <f t="shared" si="14"/>
        <v>#DIV/0!</v>
      </c>
      <c r="AT36" s="179"/>
      <c r="AU36" s="179"/>
      <c r="AV36" s="193" t="e">
        <f t="shared" si="15"/>
        <v>#DIV/0!</v>
      </c>
      <c r="AW36" s="179"/>
      <c r="AX36" s="179"/>
      <c r="AY36" s="179" t="e">
        <f t="shared" si="16"/>
        <v>#DIV/0!</v>
      </c>
      <c r="AZ36" s="282" t="e">
        <f t="shared" si="20"/>
        <v>#DIV/0!</v>
      </c>
    </row>
    <row r="37" spans="1:52" x14ac:dyDescent="0.35">
      <c r="A37" s="246">
        <f>D.SISWA!A37</f>
        <v>32</v>
      </c>
      <c r="B37" s="214">
        <f>D.SISWA!B37</f>
        <v>242501032</v>
      </c>
      <c r="C37" s="214" t="str">
        <f>D.SISWA!C37</f>
        <v>NISEU BIL HASNA</v>
      </c>
      <c r="D37" s="247" t="str">
        <f>D.SISWA!D37</f>
        <v>XI RPL</v>
      </c>
      <c r="E37" s="246">
        <v>5</v>
      </c>
      <c r="F37" s="217" t="str">
        <f t="shared" si="0"/>
        <v>60</v>
      </c>
      <c r="G37" s="217">
        <v>80</v>
      </c>
      <c r="H37" s="217">
        <v>82</v>
      </c>
      <c r="I37" s="179">
        <f t="shared" si="1"/>
        <v>81</v>
      </c>
      <c r="J37" s="179"/>
      <c r="K37" s="179"/>
      <c r="L37" s="179"/>
      <c r="M37" s="193" t="e">
        <f t="shared" si="2"/>
        <v>#DIV/0!</v>
      </c>
      <c r="N37" s="179"/>
      <c r="O37" s="179"/>
      <c r="P37" s="193" t="e">
        <f t="shared" si="3"/>
        <v>#DIV/0!</v>
      </c>
      <c r="Q37" s="179"/>
      <c r="R37" s="179"/>
      <c r="S37" s="179" t="e">
        <f t="shared" si="4"/>
        <v>#DIV/0!</v>
      </c>
      <c r="T37" s="282" t="e">
        <f t="shared" si="18"/>
        <v>#DIV/0!</v>
      </c>
      <c r="V37" s="246">
        <v>1</v>
      </c>
      <c r="W37" s="217" t="str">
        <f t="shared" si="6"/>
        <v>60</v>
      </c>
      <c r="X37" s="217"/>
      <c r="Y37" s="217"/>
      <c r="Z37" s="193" t="e">
        <f t="shared" si="7"/>
        <v>#DIV/0!</v>
      </c>
      <c r="AA37" s="179"/>
      <c r="AB37" s="179"/>
      <c r="AC37" s="193" t="e">
        <f t="shared" si="8"/>
        <v>#DIV/0!</v>
      </c>
      <c r="AD37" s="179"/>
      <c r="AE37" s="179"/>
      <c r="AF37" s="193" t="e">
        <f t="shared" si="9"/>
        <v>#DIV/0!</v>
      </c>
      <c r="AG37" s="179"/>
      <c r="AH37" s="179"/>
      <c r="AI37" s="179" t="e">
        <f t="shared" si="10"/>
        <v>#DIV/0!</v>
      </c>
      <c r="AJ37" s="282" t="e">
        <f t="shared" si="19"/>
        <v>#DIV/0!</v>
      </c>
      <c r="AL37" s="246"/>
      <c r="AM37" s="217" t="str">
        <f t="shared" si="12"/>
        <v>60</v>
      </c>
      <c r="AN37" s="217"/>
      <c r="AO37" s="217"/>
      <c r="AP37" s="193" t="e">
        <f t="shared" si="13"/>
        <v>#DIV/0!</v>
      </c>
      <c r="AQ37" s="179"/>
      <c r="AR37" s="179"/>
      <c r="AS37" s="193" t="e">
        <f t="shared" si="14"/>
        <v>#DIV/0!</v>
      </c>
      <c r="AT37" s="179"/>
      <c r="AU37" s="179"/>
      <c r="AV37" s="193" t="e">
        <f t="shared" si="15"/>
        <v>#DIV/0!</v>
      </c>
      <c r="AW37" s="179"/>
      <c r="AX37" s="179"/>
      <c r="AY37" s="179" t="e">
        <f t="shared" si="16"/>
        <v>#DIV/0!</v>
      </c>
      <c r="AZ37" s="282" t="e">
        <f t="shared" si="20"/>
        <v>#DIV/0!</v>
      </c>
    </row>
    <row r="38" spans="1:52" x14ac:dyDescent="0.35">
      <c r="A38" s="246">
        <f>D.SISWA!A38</f>
        <v>33</v>
      </c>
      <c r="B38" s="214">
        <f>D.SISWA!B38</f>
        <v>242501033</v>
      </c>
      <c r="C38" s="214" t="str">
        <f>D.SISWA!C38</f>
        <v>NOVA NOPIANA</v>
      </c>
      <c r="D38" s="247" t="str">
        <f>D.SISWA!D38</f>
        <v>XI RPL</v>
      </c>
      <c r="E38" s="246">
        <v>5</v>
      </c>
      <c r="F38" s="217" t="str">
        <f t="shared" si="0"/>
        <v>60</v>
      </c>
      <c r="G38" s="217">
        <v>80</v>
      </c>
      <c r="H38" s="217">
        <v>80</v>
      </c>
      <c r="I38" s="179">
        <f t="shared" si="1"/>
        <v>80</v>
      </c>
      <c r="J38" s="179"/>
      <c r="K38" s="179"/>
      <c r="L38" s="179"/>
      <c r="M38" s="193" t="e">
        <f t="shared" si="2"/>
        <v>#DIV/0!</v>
      </c>
      <c r="N38" s="179"/>
      <c r="O38" s="179"/>
      <c r="P38" s="193" t="e">
        <f t="shared" si="3"/>
        <v>#DIV/0!</v>
      </c>
      <c r="Q38" s="179"/>
      <c r="R38" s="179"/>
      <c r="S38" s="179" t="e">
        <f t="shared" si="4"/>
        <v>#DIV/0!</v>
      </c>
      <c r="T38" s="282" t="e">
        <f t="shared" si="18"/>
        <v>#DIV/0!</v>
      </c>
      <c r="V38" s="246">
        <v>1</v>
      </c>
      <c r="W38" s="217" t="str">
        <f t="shared" si="6"/>
        <v>60</v>
      </c>
      <c r="X38" s="217"/>
      <c r="Y38" s="217"/>
      <c r="Z38" s="193" t="e">
        <f t="shared" si="7"/>
        <v>#DIV/0!</v>
      </c>
      <c r="AA38" s="179"/>
      <c r="AB38" s="179"/>
      <c r="AC38" s="193" t="e">
        <f t="shared" si="8"/>
        <v>#DIV/0!</v>
      </c>
      <c r="AD38" s="179"/>
      <c r="AE38" s="179"/>
      <c r="AF38" s="193" t="e">
        <f t="shared" si="9"/>
        <v>#DIV/0!</v>
      </c>
      <c r="AG38" s="179"/>
      <c r="AH38" s="179"/>
      <c r="AI38" s="179" t="e">
        <f t="shared" si="10"/>
        <v>#DIV/0!</v>
      </c>
      <c r="AJ38" s="282" t="e">
        <f t="shared" si="19"/>
        <v>#DIV/0!</v>
      </c>
      <c r="AL38" s="246"/>
      <c r="AM38" s="217" t="str">
        <f t="shared" si="12"/>
        <v>60</v>
      </c>
      <c r="AN38" s="217"/>
      <c r="AO38" s="217"/>
      <c r="AP38" s="193" t="e">
        <f t="shared" si="13"/>
        <v>#DIV/0!</v>
      </c>
      <c r="AQ38" s="179"/>
      <c r="AR38" s="179"/>
      <c r="AS38" s="193" t="e">
        <f t="shared" si="14"/>
        <v>#DIV/0!</v>
      </c>
      <c r="AT38" s="179"/>
      <c r="AU38" s="179"/>
      <c r="AV38" s="193" t="e">
        <f t="shared" si="15"/>
        <v>#DIV/0!</v>
      </c>
      <c r="AW38" s="179"/>
      <c r="AX38" s="179"/>
      <c r="AY38" s="179" t="e">
        <f t="shared" si="16"/>
        <v>#DIV/0!</v>
      </c>
      <c r="AZ38" s="282" t="e">
        <f t="shared" si="20"/>
        <v>#DIV/0!</v>
      </c>
    </row>
    <row r="39" spans="1:52" x14ac:dyDescent="0.35">
      <c r="A39" s="246">
        <f>D.SISWA!A39</f>
        <v>34</v>
      </c>
      <c r="B39" s="214">
        <f>D.SISWA!B39</f>
        <v>242501034</v>
      </c>
      <c r="C39" s="214" t="str">
        <f>D.SISWA!C39</f>
        <v>NOVI NOPIANI</v>
      </c>
      <c r="D39" s="247" t="str">
        <f>D.SISWA!D39</f>
        <v>XI RPL</v>
      </c>
      <c r="E39" s="246">
        <v>4</v>
      </c>
      <c r="F39" s="217" t="str">
        <f t="shared" si="0"/>
        <v>60</v>
      </c>
      <c r="G39" s="217">
        <v>80</v>
      </c>
      <c r="H39" s="217">
        <v>80</v>
      </c>
      <c r="I39" s="179">
        <f t="shared" si="1"/>
        <v>80</v>
      </c>
      <c r="J39" s="179"/>
      <c r="K39" s="179"/>
      <c r="L39" s="179"/>
      <c r="M39" s="193" t="e">
        <f t="shared" si="2"/>
        <v>#DIV/0!</v>
      </c>
      <c r="N39" s="179"/>
      <c r="O39" s="179"/>
      <c r="P39" s="193" t="e">
        <f t="shared" si="3"/>
        <v>#DIV/0!</v>
      </c>
      <c r="Q39" s="179"/>
      <c r="R39" s="179"/>
      <c r="S39" s="179" t="e">
        <f t="shared" si="4"/>
        <v>#DIV/0!</v>
      </c>
      <c r="T39" s="282" t="e">
        <f t="shared" si="18"/>
        <v>#DIV/0!</v>
      </c>
      <c r="V39" s="246">
        <v>1</v>
      </c>
      <c r="W39" s="217" t="str">
        <f t="shared" si="6"/>
        <v>60</v>
      </c>
      <c r="X39" s="217"/>
      <c r="Y39" s="217"/>
      <c r="Z39" s="193" t="e">
        <f t="shared" si="7"/>
        <v>#DIV/0!</v>
      </c>
      <c r="AA39" s="179"/>
      <c r="AB39" s="179"/>
      <c r="AC39" s="193" t="e">
        <f t="shared" si="8"/>
        <v>#DIV/0!</v>
      </c>
      <c r="AD39" s="179"/>
      <c r="AE39" s="179"/>
      <c r="AF39" s="193" t="e">
        <f t="shared" si="9"/>
        <v>#DIV/0!</v>
      </c>
      <c r="AG39" s="179"/>
      <c r="AH39" s="179"/>
      <c r="AI39" s="179" t="e">
        <f t="shared" si="10"/>
        <v>#DIV/0!</v>
      </c>
      <c r="AJ39" s="282" t="e">
        <f t="shared" si="19"/>
        <v>#DIV/0!</v>
      </c>
      <c r="AL39" s="246"/>
      <c r="AM39" s="217" t="str">
        <f t="shared" si="12"/>
        <v>60</v>
      </c>
      <c r="AN39" s="217"/>
      <c r="AO39" s="217"/>
      <c r="AP39" s="193" t="e">
        <f t="shared" si="13"/>
        <v>#DIV/0!</v>
      </c>
      <c r="AQ39" s="179"/>
      <c r="AR39" s="179"/>
      <c r="AS39" s="193" t="e">
        <f t="shared" si="14"/>
        <v>#DIV/0!</v>
      </c>
      <c r="AT39" s="179"/>
      <c r="AU39" s="179"/>
      <c r="AV39" s="193" t="e">
        <f t="shared" si="15"/>
        <v>#DIV/0!</v>
      </c>
      <c r="AW39" s="179"/>
      <c r="AX39" s="179"/>
      <c r="AY39" s="179" t="e">
        <f t="shared" si="16"/>
        <v>#DIV/0!</v>
      </c>
      <c r="AZ39" s="282" t="e">
        <f t="shared" si="20"/>
        <v>#DIV/0!</v>
      </c>
    </row>
    <row r="40" spans="1:52" x14ac:dyDescent="0.35">
      <c r="A40" s="246">
        <f>D.SISWA!A40</f>
        <v>35</v>
      </c>
      <c r="B40" s="214">
        <f>D.SISWA!B40</f>
        <v>242501035</v>
      </c>
      <c r="C40" s="214" t="str">
        <f>D.SISWA!C40</f>
        <v>NUR AZIZAH</v>
      </c>
      <c r="D40" s="247" t="str">
        <f>D.SISWA!D40</f>
        <v>XI RPL</v>
      </c>
      <c r="E40" s="246">
        <v>5</v>
      </c>
      <c r="F40" s="217" t="str">
        <f t="shared" si="0"/>
        <v>60</v>
      </c>
      <c r="G40" s="217">
        <v>80</v>
      </c>
      <c r="H40" s="217">
        <v>82</v>
      </c>
      <c r="I40" s="179">
        <f t="shared" si="1"/>
        <v>81</v>
      </c>
      <c r="J40" s="179"/>
      <c r="K40" s="179"/>
      <c r="L40" s="179"/>
      <c r="M40" s="193" t="e">
        <f t="shared" si="2"/>
        <v>#DIV/0!</v>
      </c>
      <c r="N40" s="179"/>
      <c r="O40" s="179"/>
      <c r="P40" s="193" t="e">
        <f t="shared" si="3"/>
        <v>#DIV/0!</v>
      </c>
      <c r="Q40" s="179"/>
      <c r="R40" s="179"/>
      <c r="S40" s="179" t="e">
        <f t="shared" si="4"/>
        <v>#DIV/0!</v>
      </c>
      <c r="T40" s="282" t="e">
        <f t="shared" si="18"/>
        <v>#DIV/0!</v>
      </c>
      <c r="V40" s="246">
        <v>1</v>
      </c>
      <c r="W40" s="217" t="str">
        <f t="shared" si="6"/>
        <v>60</v>
      </c>
      <c r="X40" s="217"/>
      <c r="Y40" s="217"/>
      <c r="Z40" s="193" t="e">
        <f t="shared" si="7"/>
        <v>#DIV/0!</v>
      </c>
      <c r="AA40" s="179"/>
      <c r="AB40" s="179"/>
      <c r="AC40" s="193" t="e">
        <f t="shared" si="8"/>
        <v>#DIV/0!</v>
      </c>
      <c r="AD40" s="179"/>
      <c r="AE40" s="179"/>
      <c r="AF40" s="193" t="e">
        <f t="shared" si="9"/>
        <v>#DIV/0!</v>
      </c>
      <c r="AG40" s="179"/>
      <c r="AH40" s="179"/>
      <c r="AI40" s="179" t="e">
        <f t="shared" si="10"/>
        <v>#DIV/0!</v>
      </c>
      <c r="AJ40" s="282" t="e">
        <f t="shared" si="19"/>
        <v>#DIV/0!</v>
      </c>
      <c r="AL40" s="246"/>
      <c r="AM40" s="217" t="str">
        <f t="shared" si="12"/>
        <v>60</v>
      </c>
      <c r="AN40" s="217"/>
      <c r="AO40" s="217"/>
      <c r="AP40" s="193" t="e">
        <f t="shared" si="13"/>
        <v>#DIV/0!</v>
      </c>
      <c r="AQ40" s="179"/>
      <c r="AR40" s="179"/>
      <c r="AS40" s="193" t="e">
        <f t="shared" si="14"/>
        <v>#DIV/0!</v>
      </c>
      <c r="AT40" s="179"/>
      <c r="AU40" s="179"/>
      <c r="AV40" s="193" t="e">
        <f t="shared" si="15"/>
        <v>#DIV/0!</v>
      </c>
      <c r="AW40" s="179"/>
      <c r="AX40" s="179"/>
      <c r="AY40" s="179" t="e">
        <f t="shared" si="16"/>
        <v>#DIV/0!</v>
      </c>
      <c r="AZ40" s="282" t="e">
        <f t="shared" si="20"/>
        <v>#DIV/0!</v>
      </c>
    </row>
    <row r="41" spans="1:52" x14ac:dyDescent="0.35">
      <c r="A41" s="246">
        <f>D.SISWA!A41</f>
        <v>36</v>
      </c>
      <c r="B41" s="214">
        <f>D.SISWA!B41</f>
        <v>242501036</v>
      </c>
      <c r="C41" s="214" t="str">
        <f>D.SISWA!C41</f>
        <v>NUR FADHILAH</v>
      </c>
      <c r="D41" s="247" t="str">
        <f>D.SISWA!D41</f>
        <v>XI RPL</v>
      </c>
      <c r="E41" s="246">
        <v>5</v>
      </c>
      <c r="F41" s="217" t="str">
        <f t="shared" si="0"/>
        <v>60</v>
      </c>
      <c r="G41" s="217">
        <v>80</v>
      </c>
      <c r="H41" s="217">
        <v>82</v>
      </c>
      <c r="I41" s="179">
        <f t="shared" si="1"/>
        <v>81</v>
      </c>
      <c r="J41" s="179"/>
      <c r="K41" s="179"/>
      <c r="L41" s="179"/>
      <c r="M41" s="193" t="e">
        <f t="shared" si="2"/>
        <v>#DIV/0!</v>
      </c>
      <c r="N41" s="179"/>
      <c r="O41" s="179"/>
      <c r="P41" s="193" t="e">
        <f t="shared" si="3"/>
        <v>#DIV/0!</v>
      </c>
      <c r="Q41" s="179"/>
      <c r="R41" s="179"/>
      <c r="S41" s="179" t="e">
        <f t="shared" si="4"/>
        <v>#DIV/0!</v>
      </c>
      <c r="T41" s="282" t="e">
        <f t="shared" si="18"/>
        <v>#DIV/0!</v>
      </c>
      <c r="V41" s="246">
        <v>1</v>
      </c>
      <c r="W41" s="217" t="str">
        <f t="shared" si="6"/>
        <v>60</v>
      </c>
      <c r="X41" s="217"/>
      <c r="Y41" s="217"/>
      <c r="Z41" s="193" t="e">
        <f t="shared" si="7"/>
        <v>#DIV/0!</v>
      </c>
      <c r="AA41" s="179"/>
      <c r="AB41" s="179"/>
      <c r="AC41" s="193" t="e">
        <f t="shared" si="8"/>
        <v>#DIV/0!</v>
      </c>
      <c r="AD41" s="179"/>
      <c r="AE41" s="179"/>
      <c r="AF41" s="193" t="e">
        <f t="shared" si="9"/>
        <v>#DIV/0!</v>
      </c>
      <c r="AG41" s="179"/>
      <c r="AH41" s="179"/>
      <c r="AI41" s="179" t="e">
        <f t="shared" si="10"/>
        <v>#DIV/0!</v>
      </c>
      <c r="AJ41" s="282" t="e">
        <f t="shared" si="19"/>
        <v>#DIV/0!</v>
      </c>
      <c r="AL41" s="246"/>
      <c r="AM41" s="217" t="str">
        <f t="shared" si="12"/>
        <v>60</v>
      </c>
      <c r="AN41" s="217"/>
      <c r="AO41" s="217"/>
      <c r="AP41" s="193" t="e">
        <f t="shared" si="13"/>
        <v>#DIV/0!</v>
      </c>
      <c r="AQ41" s="179"/>
      <c r="AR41" s="179"/>
      <c r="AS41" s="193" t="e">
        <f t="shared" si="14"/>
        <v>#DIV/0!</v>
      </c>
      <c r="AT41" s="179"/>
      <c r="AU41" s="179"/>
      <c r="AV41" s="193" t="e">
        <f t="shared" si="15"/>
        <v>#DIV/0!</v>
      </c>
      <c r="AW41" s="179"/>
      <c r="AX41" s="179"/>
      <c r="AY41" s="179" t="e">
        <f t="shared" si="16"/>
        <v>#DIV/0!</v>
      </c>
      <c r="AZ41" s="282" t="e">
        <f t="shared" si="20"/>
        <v>#DIV/0!</v>
      </c>
    </row>
    <row r="42" spans="1:52" x14ac:dyDescent="0.35">
      <c r="A42" s="246">
        <f>D.SISWA!A42</f>
        <v>37</v>
      </c>
      <c r="B42" s="214">
        <f>D.SISWA!B42</f>
        <v>242501038</v>
      </c>
      <c r="C42" s="214" t="str">
        <f>D.SISWA!C42</f>
        <v>RANGGA PRATAMA</v>
      </c>
      <c r="D42" s="247" t="str">
        <f>D.SISWA!D42</f>
        <v>XI RPL</v>
      </c>
      <c r="E42" s="246">
        <v>4</v>
      </c>
      <c r="F42" s="217" t="str">
        <f t="shared" si="0"/>
        <v>60</v>
      </c>
      <c r="G42" s="217">
        <v>80</v>
      </c>
      <c r="H42" s="217"/>
      <c r="I42" s="179">
        <f t="shared" si="1"/>
        <v>80</v>
      </c>
      <c r="J42" s="179"/>
      <c r="K42" s="179"/>
      <c r="L42" s="179"/>
      <c r="M42" s="193" t="e">
        <f t="shared" si="2"/>
        <v>#DIV/0!</v>
      </c>
      <c r="N42" s="179"/>
      <c r="O42" s="179"/>
      <c r="P42" s="193" t="e">
        <f t="shared" si="3"/>
        <v>#DIV/0!</v>
      </c>
      <c r="Q42" s="179"/>
      <c r="R42" s="179"/>
      <c r="S42" s="179" t="e">
        <f t="shared" si="4"/>
        <v>#DIV/0!</v>
      </c>
      <c r="T42" s="282" t="e">
        <f t="shared" si="18"/>
        <v>#DIV/0!</v>
      </c>
      <c r="V42" s="246">
        <v>1</v>
      </c>
      <c r="W42" s="217" t="str">
        <f t="shared" si="6"/>
        <v>60</v>
      </c>
      <c r="X42" s="217"/>
      <c r="Y42" s="217"/>
      <c r="Z42" s="193" t="e">
        <f t="shared" si="7"/>
        <v>#DIV/0!</v>
      </c>
      <c r="AA42" s="179"/>
      <c r="AB42" s="179"/>
      <c r="AC42" s="193" t="e">
        <f t="shared" si="8"/>
        <v>#DIV/0!</v>
      </c>
      <c r="AD42" s="179"/>
      <c r="AE42" s="179"/>
      <c r="AF42" s="193" t="e">
        <f t="shared" si="9"/>
        <v>#DIV/0!</v>
      </c>
      <c r="AG42" s="179"/>
      <c r="AH42" s="179"/>
      <c r="AI42" s="179" t="e">
        <f t="shared" si="10"/>
        <v>#DIV/0!</v>
      </c>
      <c r="AJ42" s="282" t="e">
        <f t="shared" si="19"/>
        <v>#DIV/0!</v>
      </c>
      <c r="AL42" s="246"/>
      <c r="AM42" s="217" t="str">
        <f t="shared" si="12"/>
        <v>60</v>
      </c>
      <c r="AN42" s="217"/>
      <c r="AO42" s="217"/>
      <c r="AP42" s="193" t="e">
        <f t="shared" si="13"/>
        <v>#DIV/0!</v>
      </c>
      <c r="AQ42" s="179"/>
      <c r="AR42" s="179"/>
      <c r="AS42" s="193" t="e">
        <f t="shared" si="14"/>
        <v>#DIV/0!</v>
      </c>
      <c r="AT42" s="179"/>
      <c r="AU42" s="179"/>
      <c r="AV42" s="193" t="e">
        <f t="shared" si="15"/>
        <v>#DIV/0!</v>
      </c>
      <c r="AW42" s="179"/>
      <c r="AX42" s="179"/>
      <c r="AY42" s="179" t="e">
        <f t="shared" si="16"/>
        <v>#DIV/0!</v>
      </c>
      <c r="AZ42" s="282" t="e">
        <f t="shared" si="20"/>
        <v>#DIV/0!</v>
      </c>
    </row>
    <row r="43" spans="1:52" x14ac:dyDescent="0.35">
      <c r="A43" s="246">
        <f>D.SISWA!A43</f>
        <v>38</v>
      </c>
      <c r="B43" s="214">
        <f>D.SISWA!B43</f>
        <v>242501039</v>
      </c>
      <c r="C43" s="214" t="str">
        <f>D.SISWA!C43</f>
        <v>RAKA CANDRA FADILAH</v>
      </c>
      <c r="D43" s="247" t="str">
        <f>D.SISWA!D43</f>
        <v>XI RPL</v>
      </c>
      <c r="E43" s="246">
        <v>4</v>
      </c>
      <c r="F43" s="217" t="str">
        <f t="shared" si="0"/>
        <v>60</v>
      </c>
      <c r="G43" s="217"/>
      <c r="H43" s="217">
        <v>80</v>
      </c>
      <c r="I43" s="179">
        <f t="shared" si="1"/>
        <v>80</v>
      </c>
      <c r="J43" s="179"/>
      <c r="K43" s="179"/>
      <c r="L43" s="179"/>
      <c r="M43" s="193" t="e">
        <f t="shared" si="2"/>
        <v>#DIV/0!</v>
      </c>
      <c r="N43" s="179"/>
      <c r="O43" s="179"/>
      <c r="P43" s="193" t="e">
        <f t="shared" si="3"/>
        <v>#DIV/0!</v>
      </c>
      <c r="Q43" s="179"/>
      <c r="R43" s="179"/>
      <c r="S43" s="179" t="e">
        <f t="shared" si="4"/>
        <v>#DIV/0!</v>
      </c>
      <c r="T43" s="282" t="e">
        <f t="shared" si="18"/>
        <v>#DIV/0!</v>
      </c>
      <c r="V43" s="246">
        <v>0</v>
      </c>
      <c r="W43" s="217" t="str">
        <f t="shared" si="6"/>
        <v>60</v>
      </c>
      <c r="X43" s="217"/>
      <c r="Y43" s="217"/>
      <c r="Z43" s="193" t="e">
        <f t="shared" si="7"/>
        <v>#DIV/0!</v>
      </c>
      <c r="AA43" s="179"/>
      <c r="AB43" s="179"/>
      <c r="AC43" s="193" t="e">
        <f t="shared" si="8"/>
        <v>#DIV/0!</v>
      </c>
      <c r="AD43" s="179"/>
      <c r="AE43" s="179"/>
      <c r="AF43" s="193" t="e">
        <f t="shared" si="9"/>
        <v>#DIV/0!</v>
      </c>
      <c r="AG43" s="179"/>
      <c r="AH43" s="179"/>
      <c r="AI43" s="179" t="e">
        <f t="shared" si="10"/>
        <v>#DIV/0!</v>
      </c>
      <c r="AJ43" s="282" t="e">
        <f t="shared" si="19"/>
        <v>#DIV/0!</v>
      </c>
      <c r="AL43" s="246"/>
      <c r="AM43" s="217" t="str">
        <f t="shared" si="12"/>
        <v>60</v>
      </c>
      <c r="AN43" s="217"/>
      <c r="AO43" s="217"/>
      <c r="AP43" s="193" t="e">
        <f t="shared" si="13"/>
        <v>#DIV/0!</v>
      </c>
      <c r="AQ43" s="179"/>
      <c r="AR43" s="179"/>
      <c r="AS43" s="193" t="e">
        <f t="shared" si="14"/>
        <v>#DIV/0!</v>
      </c>
      <c r="AT43" s="179"/>
      <c r="AU43" s="179"/>
      <c r="AV43" s="193" t="e">
        <f t="shared" si="15"/>
        <v>#DIV/0!</v>
      </c>
      <c r="AW43" s="179"/>
      <c r="AX43" s="179"/>
      <c r="AY43" s="179" t="e">
        <f t="shared" si="16"/>
        <v>#DIV/0!</v>
      </c>
      <c r="AZ43" s="282" t="e">
        <f t="shared" si="20"/>
        <v>#DIV/0!</v>
      </c>
    </row>
    <row r="44" spans="1:52" x14ac:dyDescent="0.35">
      <c r="A44" s="246">
        <f>D.SISWA!A44</f>
        <v>39</v>
      </c>
      <c r="B44" s="214">
        <f>D.SISWA!B44</f>
        <v>242501040</v>
      </c>
      <c r="C44" s="214" t="str">
        <f>D.SISWA!C44</f>
        <v>RINA APRILIANI</v>
      </c>
      <c r="D44" s="247" t="str">
        <f>D.SISWA!D44</f>
        <v>XI RPL</v>
      </c>
      <c r="E44" s="246">
        <v>4</v>
      </c>
      <c r="F44" s="217" t="str">
        <f t="shared" si="0"/>
        <v>60</v>
      </c>
      <c r="G44" s="217">
        <v>80</v>
      </c>
      <c r="H44" s="217">
        <v>82</v>
      </c>
      <c r="I44" s="179">
        <f t="shared" si="1"/>
        <v>81</v>
      </c>
      <c r="J44" s="179"/>
      <c r="K44" s="179"/>
      <c r="L44" s="179"/>
      <c r="M44" s="193" t="e">
        <f t="shared" si="2"/>
        <v>#DIV/0!</v>
      </c>
      <c r="N44" s="179"/>
      <c r="O44" s="179"/>
      <c r="P44" s="193" t="e">
        <f t="shared" si="3"/>
        <v>#DIV/0!</v>
      </c>
      <c r="Q44" s="179"/>
      <c r="R44" s="179"/>
      <c r="S44" s="179" t="e">
        <f t="shared" si="4"/>
        <v>#DIV/0!</v>
      </c>
      <c r="T44" s="282" t="e">
        <f t="shared" si="18"/>
        <v>#DIV/0!</v>
      </c>
      <c r="V44" s="246">
        <v>1</v>
      </c>
      <c r="W44" s="217" t="str">
        <f t="shared" si="6"/>
        <v>60</v>
      </c>
      <c r="X44" s="217"/>
      <c r="Y44" s="217"/>
      <c r="Z44" s="193" t="e">
        <f t="shared" si="7"/>
        <v>#DIV/0!</v>
      </c>
      <c r="AA44" s="179"/>
      <c r="AB44" s="179"/>
      <c r="AC44" s="193" t="e">
        <f t="shared" si="8"/>
        <v>#DIV/0!</v>
      </c>
      <c r="AD44" s="179"/>
      <c r="AE44" s="179"/>
      <c r="AF44" s="193" t="e">
        <f t="shared" si="9"/>
        <v>#DIV/0!</v>
      </c>
      <c r="AG44" s="179"/>
      <c r="AH44" s="179"/>
      <c r="AI44" s="179" t="e">
        <f t="shared" si="10"/>
        <v>#DIV/0!</v>
      </c>
      <c r="AJ44" s="282" t="e">
        <f t="shared" si="19"/>
        <v>#DIV/0!</v>
      </c>
      <c r="AL44" s="246"/>
      <c r="AM44" s="217" t="str">
        <f t="shared" si="12"/>
        <v>60</v>
      </c>
      <c r="AN44" s="217"/>
      <c r="AO44" s="217"/>
      <c r="AP44" s="193" t="e">
        <f t="shared" si="13"/>
        <v>#DIV/0!</v>
      </c>
      <c r="AQ44" s="179"/>
      <c r="AR44" s="179"/>
      <c r="AS44" s="193" t="e">
        <f t="shared" si="14"/>
        <v>#DIV/0!</v>
      </c>
      <c r="AT44" s="179"/>
      <c r="AU44" s="179"/>
      <c r="AV44" s="193" t="e">
        <f t="shared" si="15"/>
        <v>#DIV/0!</v>
      </c>
      <c r="AW44" s="179"/>
      <c r="AX44" s="179"/>
      <c r="AY44" s="179" t="e">
        <f t="shared" si="16"/>
        <v>#DIV/0!</v>
      </c>
      <c r="AZ44" s="282" t="e">
        <f t="shared" si="20"/>
        <v>#DIV/0!</v>
      </c>
    </row>
    <row r="45" spans="1:52" x14ac:dyDescent="0.35">
      <c r="A45" s="246">
        <f>D.SISWA!A45</f>
        <v>40</v>
      </c>
      <c r="B45" s="214">
        <f>D.SISWA!B45</f>
        <v>242501041</v>
      </c>
      <c r="C45" s="214" t="str">
        <f>D.SISWA!C45</f>
        <v xml:space="preserve">SALMAA FAUZIYAH </v>
      </c>
      <c r="D45" s="247" t="str">
        <f>D.SISWA!D45</f>
        <v>XI RPL</v>
      </c>
      <c r="E45" s="246">
        <v>5</v>
      </c>
      <c r="F45" s="217" t="str">
        <f t="shared" si="0"/>
        <v>60</v>
      </c>
      <c r="G45" s="217">
        <v>80</v>
      </c>
      <c r="H45" s="217">
        <v>80</v>
      </c>
      <c r="I45" s="179">
        <f t="shared" si="1"/>
        <v>80</v>
      </c>
      <c r="J45" s="179"/>
      <c r="K45" s="179"/>
      <c r="L45" s="179"/>
      <c r="M45" s="193" t="e">
        <f t="shared" si="2"/>
        <v>#DIV/0!</v>
      </c>
      <c r="N45" s="179"/>
      <c r="O45" s="179"/>
      <c r="P45" s="193" t="e">
        <f t="shared" si="3"/>
        <v>#DIV/0!</v>
      </c>
      <c r="Q45" s="179"/>
      <c r="R45" s="179"/>
      <c r="S45" s="179" t="e">
        <f t="shared" si="4"/>
        <v>#DIV/0!</v>
      </c>
      <c r="T45" s="282" t="e">
        <f t="shared" si="18"/>
        <v>#DIV/0!</v>
      </c>
      <c r="V45" s="246">
        <v>1</v>
      </c>
      <c r="W45" s="217" t="str">
        <f t="shared" si="6"/>
        <v>60</v>
      </c>
      <c r="X45" s="217"/>
      <c r="Y45" s="217"/>
      <c r="Z45" s="193" t="e">
        <f t="shared" si="7"/>
        <v>#DIV/0!</v>
      </c>
      <c r="AA45" s="179"/>
      <c r="AB45" s="179"/>
      <c r="AC45" s="193" t="e">
        <f t="shared" si="8"/>
        <v>#DIV/0!</v>
      </c>
      <c r="AD45" s="179"/>
      <c r="AE45" s="179"/>
      <c r="AF45" s="193" t="e">
        <f t="shared" si="9"/>
        <v>#DIV/0!</v>
      </c>
      <c r="AG45" s="179"/>
      <c r="AH45" s="179"/>
      <c r="AI45" s="179" t="e">
        <f t="shared" si="10"/>
        <v>#DIV/0!</v>
      </c>
      <c r="AJ45" s="282" t="e">
        <f t="shared" si="19"/>
        <v>#DIV/0!</v>
      </c>
      <c r="AL45" s="246"/>
      <c r="AM45" s="217" t="str">
        <f t="shared" si="12"/>
        <v>60</v>
      </c>
      <c r="AN45" s="217"/>
      <c r="AO45" s="217"/>
      <c r="AP45" s="193" t="e">
        <f t="shared" si="13"/>
        <v>#DIV/0!</v>
      </c>
      <c r="AQ45" s="179"/>
      <c r="AR45" s="179"/>
      <c r="AS45" s="193" t="e">
        <f t="shared" si="14"/>
        <v>#DIV/0!</v>
      </c>
      <c r="AT45" s="179"/>
      <c r="AU45" s="179"/>
      <c r="AV45" s="193" t="e">
        <f t="shared" si="15"/>
        <v>#DIV/0!</v>
      </c>
      <c r="AW45" s="179"/>
      <c r="AX45" s="179"/>
      <c r="AY45" s="179" t="e">
        <f t="shared" si="16"/>
        <v>#DIV/0!</v>
      </c>
      <c r="AZ45" s="282" t="e">
        <f t="shared" si="20"/>
        <v>#DIV/0!</v>
      </c>
    </row>
    <row r="46" spans="1:52" x14ac:dyDescent="0.35">
      <c r="A46" s="246">
        <f>D.SISWA!A46</f>
        <v>41</v>
      </c>
      <c r="B46" s="214">
        <f>D.SISWA!B46</f>
        <v>242501042</v>
      </c>
      <c r="C46" s="214" t="str">
        <f>D.SISWA!C46</f>
        <v>SRI RESTI RAMDAN</v>
      </c>
      <c r="D46" s="247" t="str">
        <f>D.SISWA!D46</f>
        <v>XI RPL</v>
      </c>
      <c r="E46" s="246">
        <v>3</v>
      </c>
      <c r="F46" s="217" t="str">
        <f t="shared" si="0"/>
        <v>60</v>
      </c>
      <c r="G46" s="217"/>
      <c r="H46" s="217"/>
      <c r="I46" s="179" t="e">
        <f t="shared" si="1"/>
        <v>#DIV/0!</v>
      </c>
      <c r="J46" s="179"/>
      <c r="K46" s="179"/>
      <c r="L46" s="179"/>
      <c r="M46" s="193" t="e">
        <f t="shared" si="2"/>
        <v>#DIV/0!</v>
      </c>
      <c r="N46" s="179"/>
      <c r="O46" s="179"/>
      <c r="P46" s="193" t="e">
        <f t="shared" si="3"/>
        <v>#DIV/0!</v>
      </c>
      <c r="Q46" s="179"/>
      <c r="R46" s="179"/>
      <c r="S46" s="179" t="e">
        <f t="shared" si="4"/>
        <v>#DIV/0!</v>
      </c>
      <c r="T46" s="282" t="e">
        <f t="shared" si="18"/>
        <v>#DIV/0!</v>
      </c>
      <c r="V46" s="246">
        <v>1</v>
      </c>
      <c r="W46" s="217" t="str">
        <f t="shared" si="6"/>
        <v>60</v>
      </c>
      <c r="X46" s="217"/>
      <c r="Y46" s="217"/>
      <c r="Z46" s="193" t="e">
        <f t="shared" si="7"/>
        <v>#DIV/0!</v>
      </c>
      <c r="AA46" s="179"/>
      <c r="AB46" s="179"/>
      <c r="AC46" s="193" t="e">
        <f t="shared" si="8"/>
        <v>#DIV/0!</v>
      </c>
      <c r="AD46" s="179"/>
      <c r="AE46" s="179"/>
      <c r="AF46" s="193" t="e">
        <f t="shared" si="9"/>
        <v>#DIV/0!</v>
      </c>
      <c r="AG46" s="179"/>
      <c r="AH46" s="179"/>
      <c r="AI46" s="179" t="e">
        <f t="shared" si="10"/>
        <v>#DIV/0!</v>
      </c>
      <c r="AJ46" s="282" t="e">
        <f t="shared" si="19"/>
        <v>#DIV/0!</v>
      </c>
      <c r="AL46" s="246"/>
      <c r="AM46" s="217" t="str">
        <f t="shared" si="12"/>
        <v>60</v>
      </c>
      <c r="AN46" s="217"/>
      <c r="AO46" s="217"/>
      <c r="AP46" s="193" t="e">
        <f t="shared" si="13"/>
        <v>#DIV/0!</v>
      </c>
      <c r="AQ46" s="179"/>
      <c r="AR46" s="179"/>
      <c r="AS46" s="193" t="e">
        <f t="shared" si="14"/>
        <v>#DIV/0!</v>
      </c>
      <c r="AT46" s="179"/>
      <c r="AU46" s="179"/>
      <c r="AV46" s="193" t="e">
        <f t="shared" si="15"/>
        <v>#DIV/0!</v>
      </c>
      <c r="AW46" s="179"/>
      <c r="AX46" s="179"/>
      <c r="AY46" s="179" t="e">
        <f t="shared" si="16"/>
        <v>#DIV/0!</v>
      </c>
      <c r="AZ46" s="282" t="e">
        <f t="shared" si="20"/>
        <v>#DIV/0!</v>
      </c>
    </row>
    <row r="47" spans="1:52" x14ac:dyDescent="0.35">
      <c r="A47" s="246">
        <f>D.SISWA!A47</f>
        <v>42</v>
      </c>
      <c r="B47" s="214">
        <f>D.SISWA!B47</f>
        <v>242501043</v>
      </c>
      <c r="C47" s="214" t="str">
        <f>D.SISWA!C47</f>
        <v>TRIA KARTIKA ANUGRAH</v>
      </c>
      <c r="D47" s="247" t="str">
        <f>D.SISWA!D47</f>
        <v>XI RPL</v>
      </c>
      <c r="E47" s="246">
        <v>2</v>
      </c>
      <c r="F47" s="217" t="str">
        <f t="shared" si="0"/>
        <v>60</v>
      </c>
      <c r="G47" s="217"/>
      <c r="H47" s="217"/>
      <c r="I47" s="179" t="e">
        <f t="shared" si="1"/>
        <v>#DIV/0!</v>
      </c>
      <c r="J47" s="179"/>
      <c r="K47" s="179"/>
      <c r="L47" s="179"/>
      <c r="M47" s="193" t="e">
        <f t="shared" si="2"/>
        <v>#DIV/0!</v>
      </c>
      <c r="N47" s="179"/>
      <c r="O47" s="179"/>
      <c r="P47" s="193" t="e">
        <f t="shared" si="3"/>
        <v>#DIV/0!</v>
      </c>
      <c r="Q47" s="179"/>
      <c r="R47" s="179"/>
      <c r="S47" s="179" t="e">
        <f t="shared" si="4"/>
        <v>#DIV/0!</v>
      </c>
      <c r="T47" s="282" t="e">
        <f t="shared" si="18"/>
        <v>#DIV/0!</v>
      </c>
      <c r="V47" s="246">
        <v>0</v>
      </c>
      <c r="W47" s="217" t="str">
        <f t="shared" si="6"/>
        <v>60</v>
      </c>
      <c r="X47" s="217"/>
      <c r="Y47" s="217"/>
      <c r="Z47" s="193" t="e">
        <f t="shared" si="7"/>
        <v>#DIV/0!</v>
      </c>
      <c r="AA47" s="179"/>
      <c r="AB47" s="179"/>
      <c r="AC47" s="193" t="e">
        <f t="shared" si="8"/>
        <v>#DIV/0!</v>
      </c>
      <c r="AD47" s="179"/>
      <c r="AE47" s="179"/>
      <c r="AF47" s="193" t="e">
        <f t="shared" si="9"/>
        <v>#DIV/0!</v>
      </c>
      <c r="AG47" s="179"/>
      <c r="AH47" s="179"/>
      <c r="AI47" s="179" t="e">
        <f t="shared" si="10"/>
        <v>#DIV/0!</v>
      </c>
      <c r="AJ47" s="282" t="e">
        <f t="shared" si="19"/>
        <v>#DIV/0!</v>
      </c>
      <c r="AL47" s="246"/>
      <c r="AM47" s="217" t="str">
        <f t="shared" si="12"/>
        <v>60</v>
      </c>
      <c r="AN47" s="217"/>
      <c r="AO47" s="217"/>
      <c r="AP47" s="193" t="e">
        <f t="shared" si="13"/>
        <v>#DIV/0!</v>
      </c>
      <c r="AQ47" s="179"/>
      <c r="AR47" s="179"/>
      <c r="AS47" s="193" t="e">
        <f t="shared" si="14"/>
        <v>#DIV/0!</v>
      </c>
      <c r="AT47" s="179"/>
      <c r="AU47" s="179"/>
      <c r="AV47" s="193" t="e">
        <f t="shared" si="15"/>
        <v>#DIV/0!</v>
      </c>
      <c r="AW47" s="179"/>
      <c r="AX47" s="179"/>
      <c r="AY47" s="179" t="e">
        <f t="shared" si="16"/>
        <v>#DIV/0!</v>
      </c>
      <c r="AZ47" s="282" t="e">
        <f t="shared" si="20"/>
        <v>#DIV/0!</v>
      </c>
    </row>
    <row r="48" spans="1:52" x14ac:dyDescent="0.35">
      <c r="A48" s="246">
        <f>D.SISWA!A48</f>
        <v>43</v>
      </c>
      <c r="B48" s="214">
        <f>D.SISWA!B48</f>
        <v>242501044</v>
      </c>
      <c r="C48" s="214" t="str">
        <f>D.SISWA!C48</f>
        <v>UMAR</v>
      </c>
      <c r="D48" s="247" t="str">
        <f>D.SISWA!D48</f>
        <v>XI RPL</v>
      </c>
      <c r="E48" s="246">
        <v>5</v>
      </c>
      <c r="F48" s="217" t="str">
        <f t="shared" si="0"/>
        <v>60</v>
      </c>
      <c r="G48" s="217">
        <v>80</v>
      </c>
      <c r="H48" s="217">
        <v>80</v>
      </c>
      <c r="I48" s="179">
        <f t="shared" si="1"/>
        <v>80</v>
      </c>
      <c r="J48" s="179"/>
      <c r="K48" s="179"/>
      <c r="L48" s="179"/>
      <c r="M48" s="193" t="e">
        <f t="shared" si="2"/>
        <v>#DIV/0!</v>
      </c>
      <c r="N48" s="179"/>
      <c r="O48" s="179"/>
      <c r="P48" s="193" t="e">
        <f t="shared" si="3"/>
        <v>#DIV/0!</v>
      </c>
      <c r="Q48" s="179"/>
      <c r="R48" s="179"/>
      <c r="S48" s="179" t="e">
        <f t="shared" si="4"/>
        <v>#DIV/0!</v>
      </c>
      <c r="T48" s="282" t="e">
        <f t="shared" si="18"/>
        <v>#DIV/0!</v>
      </c>
      <c r="V48" s="246">
        <v>1</v>
      </c>
      <c r="W48" s="217" t="str">
        <f t="shared" si="6"/>
        <v>60</v>
      </c>
      <c r="X48" s="217"/>
      <c r="Y48" s="217"/>
      <c r="Z48" s="193" t="e">
        <f t="shared" si="7"/>
        <v>#DIV/0!</v>
      </c>
      <c r="AA48" s="179"/>
      <c r="AB48" s="179"/>
      <c r="AC48" s="193" t="e">
        <f t="shared" si="8"/>
        <v>#DIV/0!</v>
      </c>
      <c r="AD48" s="179"/>
      <c r="AE48" s="179"/>
      <c r="AF48" s="193" t="e">
        <f t="shared" si="9"/>
        <v>#DIV/0!</v>
      </c>
      <c r="AG48" s="179"/>
      <c r="AH48" s="179"/>
      <c r="AI48" s="179" t="e">
        <f t="shared" si="10"/>
        <v>#DIV/0!</v>
      </c>
      <c r="AJ48" s="282" t="e">
        <f t="shared" si="19"/>
        <v>#DIV/0!</v>
      </c>
      <c r="AL48" s="246"/>
      <c r="AM48" s="217" t="str">
        <f t="shared" si="12"/>
        <v>60</v>
      </c>
      <c r="AN48" s="217"/>
      <c r="AO48" s="217"/>
      <c r="AP48" s="193" t="e">
        <f t="shared" si="13"/>
        <v>#DIV/0!</v>
      </c>
      <c r="AQ48" s="179"/>
      <c r="AR48" s="179"/>
      <c r="AS48" s="193" t="e">
        <f t="shared" si="14"/>
        <v>#DIV/0!</v>
      </c>
      <c r="AT48" s="179"/>
      <c r="AU48" s="179"/>
      <c r="AV48" s="193" t="e">
        <f t="shared" si="15"/>
        <v>#DIV/0!</v>
      </c>
      <c r="AW48" s="179"/>
      <c r="AX48" s="179"/>
      <c r="AY48" s="179" t="e">
        <f t="shared" si="16"/>
        <v>#DIV/0!</v>
      </c>
      <c r="AZ48" s="282" t="e">
        <f t="shared" si="20"/>
        <v>#DIV/0!</v>
      </c>
    </row>
    <row r="49" spans="1:52" x14ac:dyDescent="0.35">
      <c r="A49" s="246">
        <f>D.SISWA!A49</f>
        <v>44</v>
      </c>
      <c r="B49" s="214">
        <f>D.SISWA!B49</f>
        <v>242501045</v>
      </c>
      <c r="C49" s="214" t="str">
        <f>D.SISWA!C49</f>
        <v>VIKA NOPRITA AYUDIA RANI</v>
      </c>
      <c r="D49" s="247" t="str">
        <f>D.SISWA!D49</f>
        <v>XI RPL</v>
      </c>
      <c r="E49" s="246">
        <v>5</v>
      </c>
      <c r="F49" s="217" t="str">
        <f t="shared" si="0"/>
        <v>60</v>
      </c>
      <c r="G49" s="217">
        <v>80</v>
      </c>
      <c r="H49" s="217"/>
      <c r="I49" s="179">
        <f t="shared" si="1"/>
        <v>80</v>
      </c>
      <c r="J49" s="179"/>
      <c r="K49" s="179"/>
      <c r="L49" s="179"/>
      <c r="M49" s="193" t="e">
        <f t="shared" si="2"/>
        <v>#DIV/0!</v>
      </c>
      <c r="N49" s="179"/>
      <c r="O49" s="179"/>
      <c r="P49" s="193" t="e">
        <f t="shared" si="3"/>
        <v>#DIV/0!</v>
      </c>
      <c r="Q49" s="179"/>
      <c r="R49" s="179"/>
      <c r="S49" s="179" t="e">
        <f t="shared" si="4"/>
        <v>#DIV/0!</v>
      </c>
      <c r="T49" s="282" t="e">
        <f t="shared" si="18"/>
        <v>#DIV/0!</v>
      </c>
      <c r="V49" s="246">
        <v>1</v>
      </c>
      <c r="W49" s="217" t="str">
        <f t="shared" si="6"/>
        <v>60</v>
      </c>
      <c r="X49" s="217"/>
      <c r="Y49" s="217"/>
      <c r="Z49" s="193" t="e">
        <f t="shared" si="7"/>
        <v>#DIV/0!</v>
      </c>
      <c r="AA49" s="179"/>
      <c r="AB49" s="179"/>
      <c r="AC49" s="193" t="e">
        <f t="shared" si="8"/>
        <v>#DIV/0!</v>
      </c>
      <c r="AD49" s="179"/>
      <c r="AE49" s="179"/>
      <c r="AF49" s="193" t="e">
        <f t="shared" si="9"/>
        <v>#DIV/0!</v>
      </c>
      <c r="AG49" s="179"/>
      <c r="AH49" s="179"/>
      <c r="AI49" s="179" t="e">
        <f t="shared" si="10"/>
        <v>#DIV/0!</v>
      </c>
      <c r="AJ49" s="282" t="e">
        <f t="shared" si="19"/>
        <v>#DIV/0!</v>
      </c>
      <c r="AL49" s="246"/>
      <c r="AM49" s="217" t="str">
        <f t="shared" si="12"/>
        <v>60</v>
      </c>
      <c r="AN49" s="217"/>
      <c r="AO49" s="217"/>
      <c r="AP49" s="193" t="e">
        <f t="shared" si="13"/>
        <v>#DIV/0!</v>
      </c>
      <c r="AQ49" s="179"/>
      <c r="AR49" s="179"/>
      <c r="AS49" s="193" t="e">
        <f t="shared" si="14"/>
        <v>#DIV/0!</v>
      </c>
      <c r="AT49" s="179"/>
      <c r="AU49" s="179"/>
      <c r="AV49" s="193" t="e">
        <f t="shared" si="15"/>
        <v>#DIV/0!</v>
      </c>
      <c r="AW49" s="179"/>
      <c r="AX49" s="179"/>
      <c r="AY49" s="179" t="e">
        <f t="shared" si="16"/>
        <v>#DIV/0!</v>
      </c>
      <c r="AZ49" s="282" t="e">
        <f t="shared" si="20"/>
        <v>#DIV/0!</v>
      </c>
    </row>
    <row r="50" spans="1:52" ht="15" thickBot="1" x14ac:dyDescent="0.4">
      <c r="A50" s="249">
        <f>D.SISWA!A50</f>
        <v>45</v>
      </c>
      <c r="B50" s="258">
        <f>D.SISWA!B50</f>
        <v>242501046</v>
      </c>
      <c r="C50" s="258" t="str">
        <f>D.SISWA!C50</f>
        <v>WIDYA IDAMATULSILMI</v>
      </c>
      <c r="D50" s="250" t="str">
        <f>D.SISWA!D50</f>
        <v>XI RPL</v>
      </c>
      <c r="E50" s="246">
        <v>5</v>
      </c>
      <c r="F50" s="252" t="str">
        <f t="shared" si="0"/>
        <v>60</v>
      </c>
      <c r="G50" s="252">
        <v>80</v>
      </c>
      <c r="H50" s="252">
        <v>80</v>
      </c>
      <c r="I50" s="224">
        <f t="shared" si="1"/>
        <v>80</v>
      </c>
      <c r="J50" s="224"/>
      <c r="K50" s="224"/>
      <c r="L50" s="224"/>
      <c r="M50" s="283" t="e">
        <f t="shared" si="2"/>
        <v>#DIV/0!</v>
      </c>
      <c r="N50" s="224"/>
      <c r="O50" s="224"/>
      <c r="P50" s="283" t="e">
        <f t="shared" si="3"/>
        <v>#DIV/0!</v>
      </c>
      <c r="Q50" s="224"/>
      <c r="R50" s="224"/>
      <c r="S50" s="224" t="e">
        <f t="shared" si="4"/>
        <v>#DIV/0!</v>
      </c>
      <c r="T50" s="282" t="e">
        <f t="shared" si="18"/>
        <v>#DIV/0!</v>
      </c>
      <c r="V50" s="246">
        <v>1</v>
      </c>
      <c r="W50" s="252" t="str">
        <f t="shared" si="6"/>
        <v>60</v>
      </c>
      <c r="X50" s="252"/>
      <c r="Y50" s="252"/>
      <c r="Z50" s="283" t="e">
        <f t="shared" si="7"/>
        <v>#DIV/0!</v>
      </c>
      <c r="AA50" s="224"/>
      <c r="AB50" s="224"/>
      <c r="AC50" s="283" t="e">
        <f t="shared" si="8"/>
        <v>#DIV/0!</v>
      </c>
      <c r="AD50" s="224"/>
      <c r="AE50" s="224"/>
      <c r="AF50" s="283" t="e">
        <f t="shared" si="9"/>
        <v>#DIV/0!</v>
      </c>
      <c r="AG50" s="224"/>
      <c r="AH50" s="224"/>
      <c r="AI50" s="224" t="e">
        <f t="shared" si="10"/>
        <v>#DIV/0!</v>
      </c>
      <c r="AJ50" s="282" t="e">
        <f t="shared" si="19"/>
        <v>#DIV/0!</v>
      </c>
      <c r="AL50" s="249"/>
      <c r="AM50" s="252" t="str">
        <f t="shared" si="12"/>
        <v>60</v>
      </c>
      <c r="AN50" s="252"/>
      <c r="AO50" s="252"/>
      <c r="AP50" s="283" t="e">
        <f t="shared" si="13"/>
        <v>#DIV/0!</v>
      </c>
      <c r="AQ50" s="224"/>
      <c r="AR50" s="224"/>
      <c r="AS50" s="283" t="e">
        <f t="shared" si="14"/>
        <v>#DIV/0!</v>
      </c>
      <c r="AT50" s="224"/>
      <c r="AU50" s="224"/>
      <c r="AV50" s="283" t="e">
        <f t="shared" si="15"/>
        <v>#DIV/0!</v>
      </c>
      <c r="AW50" s="224"/>
      <c r="AX50" s="224"/>
      <c r="AY50" s="224" t="e">
        <f t="shared" si="16"/>
        <v>#DIV/0!</v>
      </c>
      <c r="AZ50" s="282" t="e">
        <f t="shared" si="20"/>
        <v>#DIV/0!</v>
      </c>
    </row>
    <row r="51" spans="1:52" x14ac:dyDescent="0.35">
      <c r="A51" s="213"/>
      <c r="B51" s="199"/>
      <c r="C51" s="199"/>
      <c r="D51" s="213"/>
      <c r="E51" s="213"/>
      <c r="F51" s="213"/>
      <c r="G51" s="213"/>
      <c r="H51" s="213"/>
      <c r="V51" s="213"/>
      <c r="W51" s="213"/>
      <c r="X51" s="213"/>
      <c r="Y51" s="213"/>
      <c r="AL51" s="213"/>
      <c r="AM51" s="213"/>
      <c r="AN51" s="213"/>
      <c r="AO51" s="213"/>
    </row>
    <row r="52" spans="1:52" x14ac:dyDescent="0.35">
      <c r="A52" s="213"/>
      <c r="B52" s="199"/>
      <c r="C52" s="199"/>
      <c r="D52" s="213"/>
      <c r="E52" s="213"/>
      <c r="F52" s="213"/>
      <c r="G52" s="213"/>
      <c r="H52" s="213"/>
      <c r="P52" s="337" t="s">
        <v>37</v>
      </c>
      <c r="Q52" s="337"/>
      <c r="V52" s="213"/>
      <c r="W52" s="213"/>
      <c r="X52" s="213"/>
      <c r="Y52" s="213"/>
      <c r="AF52" s="337" t="s">
        <v>37</v>
      </c>
      <c r="AG52" s="337"/>
      <c r="AL52" s="213"/>
      <c r="AM52" s="213"/>
      <c r="AN52" s="213"/>
      <c r="AO52" s="213"/>
      <c r="AV52" s="337" t="s">
        <v>37</v>
      </c>
      <c r="AW52" s="337"/>
    </row>
    <row r="53" spans="1:52" x14ac:dyDescent="0.35">
      <c r="A53" s="213"/>
      <c r="B53" s="199"/>
      <c r="C53" s="199"/>
      <c r="D53" s="213"/>
      <c r="E53" s="213"/>
      <c r="F53" s="213"/>
      <c r="G53" s="213"/>
      <c r="H53" s="213"/>
      <c r="P53" t="s">
        <v>237</v>
      </c>
      <c r="Q53">
        <v>40</v>
      </c>
      <c r="V53" s="213"/>
      <c r="W53" s="213"/>
      <c r="X53" s="213"/>
      <c r="Y53" s="213"/>
      <c r="AF53" t="s">
        <v>237</v>
      </c>
      <c r="AG53">
        <v>40</v>
      </c>
      <c r="AL53" s="213"/>
      <c r="AM53" s="213"/>
      <c r="AN53" s="213"/>
      <c r="AO53" s="213"/>
      <c r="AV53" t="s">
        <v>237</v>
      </c>
      <c r="AW53">
        <v>40</v>
      </c>
    </row>
    <row r="54" spans="1:52" x14ac:dyDescent="0.35">
      <c r="A54" s="213"/>
      <c r="B54" s="199"/>
      <c r="C54" s="199"/>
      <c r="D54" s="213"/>
      <c r="E54" s="213"/>
      <c r="F54" s="213"/>
      <c r="G54" s="213"/>
      <c r="H54" s="213"/>
      <c r="P54" t="s">
        <v>235</v>
      </c>
      <c r="Q54">
        <v>20</v>
      </c>
      <c r="V54" s="213"/>
      <c r="W54" s="213"/>
      <c r="X54" s="213"/>
      <c r="Y54" s="213"/>
      <c r="AF54" t="s">
        <v>235</v>
      </c>
      <c r="AG54">
        <v>20</v>
      </c>
      <c r="AL54" s="213"/>
      <c r="AM54" s="213"/>
      <c r="AN54" s="213"/>
      <c r="AO54" s="213"/>
      <c r="AV54" t="s">
        <v>235</v>
      </c>
      <c r="AW54">
        <v>20</v>
      </c>
    </row>
    <row r="55" spans="1:52" x14ac:dyDescent="0.35">
      <c r="A55" s="213"/>
      <c r="B55" s="199"/>
      <c r="C55" s="199"/>
      <c r="D55" s="213"/>
      <c r="E55" s="213"/>
      <c r="F55" s="213"/>
      <c r="G55" s="213"/>
      <c r="H55" s="213"/>
      <c r="P55" t="s">
        <v>16</v>
      </c>
      <c r="Q55">
        <v>15</v>
      </c>
      <c r="V55" s="213"/>
      <c r="W55" s="213"/>
      <c r="X55" s="213"/>
      <c r="Y55" s="213"/>
      <c r="AF55" t="s">
        <v>16</v>
      </c>
      <c r="AG55">
        <v>15</v>
      </c>
      <c r="AL55" s="213"/>
      <c r="AM55" s="213"/>
      <c r="AN55" s="213"/>
      <c r="AO55" s="213"/>
      <c r="AV55" t="s">
        <v>16</v>
      </c>
      <c r="AW55">
        <v>15</v>
      </c>
    </row>
    <row r="56" spans="1:52" x14ac:dyDescent="0.35">
      <c r="A56" s="213"/>
      <c r="B56" s="199"/>
      <c r="C56" s="199"/>
      <c r="D56" s="213"/>
      <c r="E56" s="213"/>
      <c r="F56" s="213"/>
      <c r="G56" s="213"/>
      <c r="H56" s="213"/>
      <c r="P56" t="s">
        <v>15</v>
      </c>
      <c r="Q56">
        <v>15</v>
      </c>
      <c r="V56" s="213"/>
      <c r="W56" s="213"/>
      <c r="X56" s="213"/>
      <c r="Y56" s="213"/>
      <c r="AF56" t="s">
        <v>15</v>
      </c>
      <c r="AG56">
        <v>15</v>
      </c>
      <c r="AL56" s="213"/>
      <c r="AM56" s="213"/>
      <c r="AN56" s="213"/>
      <c r="AO56" s="213"/>
      <c r="AV56" t="s">
        <v>15</v>
      </c>
      <c r="AW56">
        <v>15</v>
      </c>
    </row>
    <row r="57" spans="1:52" x14ac:dyDescent="0.35">
      <c r="A57" s="213"/>
      <c r="B57" s="199"/>
      <c r="C57" s="199"/>
      <c r="D57" s="213"/>
      <c r="E57" s="213"/>
      <c r="F57" s="213"/>
      <c r="G57" s="213"/>
      <c r="H57" s="213"/>
      <c r="P57" t="s">
        <v>19</v>
      </c>
      <c r="Q57">
        <v>10</v>
      </c>
      <c r="V57" s="213"/>
      <c r="W57" s="213"/>
      <c r="X57" s="213"/>
      <c r="Y57" s="213"/>
      <c r="AF57" t="s">
        <v>19</v>
      </c>
      <c r="AG57">
        <v>10</v>
      </c>
      <c r="AL57" s="213"/>
      <c r="AM57" s="213"/>
      <c r="AN57" s="213"/>
      <c r="AO57" s="213"/>
      <c r="AV57" t="s">
        <v>19</v>
      </c>
      <c r="AW57">
        <v>10</v>
      </c>
    </row>
    <row r="58" spans="1:52" x14ac:dyDescent="0.35">
      <c r="A58" s="213"/>
      <c r="B58" s="199"/>
      <c r="C58" s="199"/>
      <c r="D58" s="213"/>
      <c r="E58" s="213"/>
      <c r="F58" s="213"/>
      <c r="G58" s="213"/>
      <c r="H58" s="213"/>
      <c r="V58" s="213"/>
      <c r="W58" s="213"/>
      <c r="X58" s="213"/>
      <c r="Y58" s="213"/>
      <c r="AL58" s="213"/>
      <c r="AM58" s="213"/>
      <c r="AN58" s="213"/>
      <c r="AO58" s="213"/>
    </row>
    <row r="59" spans="1:52" x14ac:dyDescent="0.35">
      <c r="A59" s="213"/>
      <c r="B59" s="199"/>
      <c r="C59" s="199"/>
      <c r="D59" s="213"/>
      <c r="E59" s="213"/>
      <c r="F59" s="213"/>
      <c r="G59" s="213"/>
      <c r="H59" s="213"/>
      <c r="V59" s="213"/>
      <c r="W59" s="213"/>
      <c r="X59" s="213"/>
      <c r="Y59" s="213"/>
      <c r="AL59" s="213"/>
      <c r="AM59" s="213"/>
      <c r="AN59" s="213"/>
      <c r="AO59" s="213"/>
    </row>
    <row r="60" spans="1:52" x14ac:dyDescent="0.35">
      <c r="A60" s="213"/>
      <c r="B60" s="199"/>
      <c r="C60" s="199"/>
      <c r="D60" s="213"/>
      <c r="E60" s="213"/>
      <c r="F60" s="213"/>
      <c r="G60" s="213"/>
      <c r="H60" s="213"/>
      <c r="V60" s="213"/>
      <c r="W60" s="213"/>
      <c r="X60" s="213"/>
      <c r="Y60" s="213"/>
      <c r="AL60" s="213"/>
      <c r="AM60" s="213"/>
      <c r="AN60" s="213"/>
      <c r="AO60" s="213"/>
    </row>
    <row r="61" spans="1:52" x14ac:dyDescent="0.35">
      <c r="A61" s="213"/>
      <c r="B61" s="199"/>
      <c r="C61" s="199"/>
      <c r="D61" s="213"/>
      <c r="E61" s="213"/>
      <c r="F61" s="213"/>
      <c r="G61" s="213"/>
      <c r="H61" s="213"/>
      <c r="V61" s="213"/>
      <c r="W61" s="213"/>
      <c r="X61" s="213"/>
      <c r="Y61" s="213"/>
      <c r="AL61" s="213"/>
      <c r="AM61" s="213"/>
      <c r="AN61" s="213"/>
      <c r="AO61" s="213"/>
    </row>
    <row r="62" spans="1:52" x14ac:dyDescent="0.35">
      <c r="A62" s="213"/>
      <c r="B62" s="199"/>
      <c r="C62" s="199"/>
      <c r="D62" s="213"/>
      <c r="E62" s="213"/>
      <c r="F62" s="213"/>
      <c r="G62" s="213"/>
      <c r="H62" s="213"/>
      <c r="V62" s="213"/>
      <c r="W62" s="213"/>
      <c r="X62" s="213"/>
      <c r="Y62" s="213"/>
      <c r="AL62" s="213"/>
      <c r="AM62" s="213"/>
      <c r="AN62" s="213"/>
      <c r="AO62" s="213"/>
    </row>
    <row r="63" spans="1:52" x14ac:dyDescent="0.35">
      <c r="A63" s="213"/>
      <c r="B63" s="199"/>
      <c r="C63" s="199"/>
      <c r="D63" s="213"/>
      <c r="E63" s="213"/>
      <c r="F63" s="213"/>
      <c r="G63" s="213"/>
      <c r="H63" s="213"/>
      <c r="V63" s="213"/>
      <c r="W63" s="213"/>
      <c r="X63" s="213"/>
      <c r="Y63" s="213"/>
      <c r="AL63" s="213"/>
      <c r="AM63" s="213"/>
      <c r="AN63" s="213"/>
      <c r="AO63" s="213"/>
    </row>
    <row r="64" spans="1:52" x14ac:dyDescent="0.35">
      <c r="A64" s="213"/>
      <c r="B64" s="199"/>
      <c r="C64" s="199"/>
      <c r="D64" s="213"/>
      <c r="E64" s="213"/>
      <c r="F64" s="213"/>
      <c r="G64" s="213"/>
      <c r="H64" s="213"/>
      <c r="V64" s="213"/>
      <c r="W64" s="213"/>
      <c r="X64" s="213"/>
      <c r="Y64" s="213"/>
      <c r="AL64" s="213"/>
      <c r="AM64" s="213"/>
      <c r="AN64" s="213"/>
      <c r="AO64" s="213"/>
    </row>
    <row r="65" spans="1:41" x14ac:dyDescent="0.35">
      <c r="A65" s="213"/>
      <c r="B65" s="199"/>
      <c r="C65" s="199"/>
      <c r="D65" s="213"/>
      <c r="E65" s="213"/>
      <c r="F65" s="213"/>
      <c r="G65" s="213"/>
      <c r="H65" s="213"/>
      <c r="V65" s="213"/>
      <c r="W65" s="213"/>
      <c r="X65" s="213"/>
      <c r="Y65" s="213"/>
      <c r="AL65" s="213"/>
      <c r="AM65" s="213"/>
      <c r="AN65" s="213"/>
      <c r="AO65" s="213"/>
    </row>
    <row r="66" spans="1:41" x14ac:dyDescent="0.35">
      <c r="A66" s="213"/>
      <c r="B66" s="199"/>
      <c r="C66" s="199"/>
      <c r="D66" s="213"/>
      <c r="E66" s="213"/>
      <c r="F66" s="213"/>
      <c r="G66" s="213"/>
      <c r="H66" s="213"/>
      <c r="V66" s="213"/>
      <c r="W66" s="213"/>
      <c r="X66" s="213"/>
      <c r="Y66" s="213"/>
      <c r="AL66" s="213"/>
      <c r="AM66" s="213"/>
      <c r="AN66" s="213"/>
      <c r="AO66" s="213"/>
    </row>
    <row r="67" spans="1:41" x14ac:dyDescent="0.35">
      <c r="A67" s="213"/>
      <c r="B67" s="199"/>
      <c r="C67" s="199"/>
      <c r="D67" s="213"/>
      <c r="E67" s="213"/>
      <c r="F67" s="213"/>
      <c r="G67" s="213"/>
      <c r="H67" s="213"/>
      <c r="V67" s="213"/>
      <c r="W67" s="213"/>
      <c r="X67" s="213"/>
      <c r="Y67" s="213"/>
      <c r="AL67" s="213"/>
      <c r="AM67" s="213"/>
      <c r="AN67" s="213"/>
      <c r="AO67" s="213"/>
    </row>
    <row r="68" spans="1:41" x14ac:dyDescent="0.35">
      <c r="A68" s="213"/>
      <c r="B68" s="199"/>
      <c r="C68" s="199"/>
      <c r="D68" s="213"/>
      <c r="E68" s="213"/>
      <c r="F68" s="213"/>
      <c r="G68" s="213"/>
      <c r="H68" s="213"/>
      <c r="V68" s="213"/>
      <c r="W68" s="213"/>
      <c r="X68" s="213"/>
      <c r="Y68" s="213"/>
      <c r="AL68" s="213"/>
      <c r="AM68" s="213"/>
      <c r="AN68" s="213"/>
      <c r="AO68" s="213"/>
    </row>
    <row r="69" spans="1:41" x14ac:dyDescent="0.35">
      <c r="A69" s="213"/>
      <c r="B69" s="199"/>
      <c r="C69" s="199"/>
      <c r="D69" s="213"/>
      <c r="E69" s="213"/>
      <c r="F69" s="213"/>
      <c r="G69" s="213"/>
      <c r="H69" s="213"/>
      <c r="V69" s="213"/>
      <c r="W69" s="213"/>
      <c r="X69" s="213"/>
      <c r="Y69" s="213"/>
      <c r="AL69" s="213"/>
      <c r="AM69" s="213"/>
      <c r="AN69" s="213"/>
      <c r="AO69" s="213"/>
    </row>
    <row r="70" spans="1:41" x14ac:dyDescent="0.35">
      <c r="A70" s="213"/>
      <c r="B70" s="199"/>
      <c r="C70" s="199"/>
      <c r="D70" s="213"/>
      <c r="E70" s="213"/>
      <c r="F70" s="213"/>
      <c r="G70" s="213"/>
      <c r="H70" s="213"/>
      <c r="V70" s="213"/>
      <c r="W70" s="213"/>
      <c r="X70" s="213"/>
      <c r="Y70" s="213"/>
      <c r="AL70" s="213"/>
      <c r="AM70" s="213"/>
      <c r="AN70" s="213"/>
      <c r="AO70" s="213"/>
    </row>
    <row r="71" spans="1:41" x14ac:dyDescent="0.35">
      <c r="A71" s="213"/>
      <c r="B71" s="199"/>
      <c r="C71" s="199"/>
      <c r="D71" s="213"/>
      <c r="E71" s="213"/>
      <c r="F71" s="213"/>
      <c r="G71" s="213"/>
      <c r="H71" s="213"/>
      <c r="V71" s="213"/>
      <c r="W71" s="213"/>
      <c r="X71" s="213"/>
      <c r="Y71" s="213"/>
      <c r="AL71" s="213"/>
      <c r="AM71" s="213"/>
      <c r="AN71" s="213"/>
      <c r="AO71" s="213"/>
    </row>
    <row r="72" spans="1:41" x14ac:dyDescent="0.35">
      <c r="A72" s="213"/>
      <c r="B72" s="199"/>
      <c r="C72" s="199"/>
      <c r="D72" s="213"/>
      <c r="E72" s="213"/>
      <c r="F72" s="213"/>
      <c r="G72" s="213"/>
      <c r="H72" s="213"/>
      <c r="V72" s="213"/>
      <c r="W72" s="213"/>
      <c r="X72" s="213"/>
      <c r="Y72" s="213"/>
      <c r="AL72" s="213"/>
      <c r="AM72" s="213"/>
      <c r="AN72" s="213"/>
      <c r="AO72" s="213"/>
    </row>
    <row r="73" spans="1:41" x14ac:dyDescent="0.35">
      <c r="A73" s="213"/>
      <c r="B73" s="199"/>
      <c r="C73" s="199"/>
      <c r="D73" s="213"/>
      <c r="E73" s="213"/>
      <c r="F73" s="213"/>
      <c r="G73" s="213"/>
      <c r="H73" s="213"/>
      <c r="V73" s="213"/>
      <c r="W73" s="213"/>
      <c r="X73" s="213"/>
      <c r="Y73" s="213"/>
      <c r="AL73" s="213"/>
      <c r="AM73" s="213"/>
      <c r="AN73" s="213"/>
      <c r="AO73" s="213"/>
    </row>
    <row r="74" spans="1:41" x14ac:dyDescent="0.35">
      <c r="A74" s="213"/>
      <c r="B74" s="199"/>
      <c r="C74" s="199"/>
      <c r="D74" s="213"/>
      <c r="E74" s="213"/>
      <c r="F74" s="213"/>
      <c r="G74" s="213"/>
      <c r="H74" s="213"/>
      <c r="V74" s="213"/>
      <c r="W74" s="213"/>
      <c r="X74" s="213"/>
      <c r="Y74" s="213"/>
      <c r="AL74" s="213"/>
      <c r="AM74" s="213"/>
      <c r="AN74" s="213"/>
      <c r="AO74" s="213"/>
    </row>
    <row r="75" spans="1:41" x14ac:dyDescent="0.35">
      <c r="A75" s="213"/>
      <c r="B75" s="199"/>
      <c r="C75" s="199"/>
      <c r="D75" s="213"/>
      <c r="E75" s="213"/>
      <c r="F75" s="213"/>
      <c r="G75" s="213"/>
      <c r="H75" s="213"/>
      <c r="V75" s="213"/>
      <c r="W75" s="213"/>
      <c r="X75" s="213"/>
      <c r="Y75" s="213"/>
      <c r="AL75" s="213"/>
      <c r="AM75" s="213"/>
      <c r="AN75" s="213"/>
      <c r="AO75" s="213"/>
    </row>
    <row r="76" spans="1:41" x14ac:dyDescent="0.35">
      <c r="A76" s="213"/>
      <c r="B76" s="199"/>
      <c r="C76" s="199"/>
      <c r="D76" s="213"/>
      <c r="E76" s="213"/>
      <c r="F76" s="213"/>
      <c r="G76" s="213"/>
      <c r="H76" s="213"/>
      <c r="V76" s="213"/>
      <c r="W76" s="213"/>
      <c r="X76" s="213"/>
      <c r="Y76" s="213"/>
      <c r="AL76" s="213"/>
      <c r="AM76" s="213"/>
      <c r="AN76" s="213"/>
      <c r="AO76" s="213"/>
    </row>
    <row r="77" spans="1:41" x14ac:dyDescent="0.35">
      <c r="A77" s="213"/>
      <c r="B77" s="199"/>
      <c r="C77" s="199"/>
      <c r="D77" s="213"/>
      <c r="E77" s="213"/>
      <c r="F77" s="213"/>
      <c r="G77" s="213"/>
      <c r="H77" s="213"/>
      <c r="V77" s="213"/>
      <c r="W77" s="213"/>
      <c r="X77" s="213"/>
      <c r="Y77" s="213"/>
      <c r="AL77" s="213"/>
      <c r="AM77" s="213"/>
      <c r="AN77" s="213"/>
      <c r="AO77" s="213"/>
    </row>
    <row r="78" spans="1:41" x14ac:dyDescent="0.35">
      <c r="A78" s="213"/>
      <c r="B78" s="199"/>
      <c r="C78" s="199"/>
      <c r="D78" s="213"/>
      <c r="E78" s="213"/>
      <c r="F78" s="213"/>
      <c r="G78" s="213"/>
      <c r="H78" s="213"/>
      <c r="V78" s="213"/>
      <c r="W78" s="213"/>
      <c r="X78" s="213"/>
      <c r="Y78" s="213"/>
      <c r="AL78" s="213"/>
      <c r="AM78" s="213"/>
      <c r="AN78" s="213"/>
      <c r="AO78" s="213"/>
    </row>
    <row r="79" spans="1:41" x14ac:dyDescent="0.35">
      <c r="A79" s="213"/>
      <c r="B79" s="199"/>
      <c r="C79" s="199"/>
      <c r="D79" s="213"/>
      <c r="E79" s="213"/>
      <c r="F79" s="213"/>
      <c r="G79" s="213"/>
      <c r="H79" s="213"/>
      <c r="V79" s="213"/>
      <c r="W79" s="213"/>
      <c r="X79" s="213"/>
      <c r="Y79" s="213"/>
      <c r="AL79" s="213"/>
      <c r="AM79" s="213"/>
      <c r="AN79" s="213"/>
      <c r="AO79" s="213"/>
    </row>
    <row r="80" spans="1:41" x14ac:dyDescent="0.35">
      <c r="A80" s="213"/>
      <c r="B80" s="199"/>
      <c r="C80" s="199"/>
      <c r="D80" s="213"/>
      <c r="E80" s="213"/>
      <c r="F80" s="213"/>
      <c r="G80" s="213"/>
      <c r="H80" s="213"/>
      <c r="V80" s="213"/>
      <c r="W80" s="213"/>
      <c r="X80" s="213"/>
      <c r="Y80" s="213"/>
      <c r="AL80" s="213"/>
      <c r="AM80" s="213"/>
      <c r="AN80" s="213"/>
      <c r="AO80" s="213"/>
    </row>
    <row r="81" spans="1:41" x14ac:dyDescent="0.35">
      <c r="A81" s="213"/>
      <c r="B81" s="199"/>
      <c r="C81" s="199"/>
      <c r="D81" s="213"/>
      <c r="E81" s="213"/>
      <c r="F81" s="213"/>
      <c r="G81" s="213"/>
      <c r="H81" s="213"/>
      <c r="V81" s="213"/>
      <c r="W81" s="213"/>
      <c r="X81" s="213"/>
      <c r="Y81" s="213"/>
      <c r="AL81" s="213"/>
      <c r="AM81" s="213"/>
      <c r="AN81" s="213"/>
      <c r="AO81" s="213"/>
    </row>
    <row r="82" spans="1:41" x14ac:dyDescent="0.35">
      <c r="A82" s="213"/>
      <c r="B82" s="199"/>
      <c r="C82" s="199"/>
      <c r="D82" s="213"/>
      <c r="E82" s="213"/>
      <c r="F82" s="213"/>
      <c r="G82" s="213"/>
      <c r="H82" s="213"/>
      <c r="V82" s="213"/>
      <c r="W82" s="213"/>
      <c r="X82" s="213"/>
      <c r="Y82" s="213"/>
      <c r="AL82" s="213"/>
      <c r="AM82" s="213"/>
      <c r="AN82" s="213"/>
      <c r="AO82" s="213"/>
    </row>
    <row r="83" spans="1:41" x14ac:dyDescent="0.35">
      <c r="A83" s="213"/>
      <c r="B83" s="199"/>
      <c r="C83" s="199"/>
      <c r="D83" s="213"/>
      <c r="E83" s="213"/>
      <c r="F83" s="213"/>
      <c r="G83" s="213"/>
      <c r="H83" s="213"/>
      <c r="V83" s="213"/>
      <c r="W83" s="213"/>
      <c r="X83" s="213"/>
      <c r="Y83" s="213"/>
      <c r="AL83" s="213"/>
      <c r="AM83" s="213"/>
      <c r="AN83" s="213"/>
      <c r="AO83" s="213"/>
    </row>
    <row r="84" spans="1:41" x14ac:dyDescent="0.35">
      <c r="A84" s="213"/>
      <c r="B84" s="199"/>
      <c r="C84" s="199"/>
      <c r="D84" s="213"/>
      <c r="E84" s="213"/>
      <c r="F84" s="213"/>
      <c r="G84" s="213"/>
      <c r="H84" s="213"/>
      <c r="V84" s="213"/>
      <c r="W84" s="213"/>
      <c r="X84" s="213"/>
      <c r="Y84" s="213"/>
      <c r="AL84" s="213"/>
      <c r="AM84" s="213"/>
      <c r="AN84" s="213"/>
      <c r="AO84" s="213"/>
    </row>
    <row r="85" spans="1:41" x14ac:dyDescent="0.35">
      <c r="A85" s="213"/>
      <c r="B85" s="199"/>
      <c r="C85" s="199"/>
      <c r="D85" s="213"/>
      <c r="E85" s="213"/>
      <c r="F85" s="213"/>
      <c r="G85" s="213"/>
      <c r="H85" s="213"/>
      <c r="V85" s="213"/>
      <c r="W85" s="213"/>
      <c r="X85" s="213"/>
      <c r="Y85" s="213"/>
      <c r="AL85" s="213"/>
      <c r="AM85" s="213"/>
      <c r="AN85" s="213"/>
      <c r="AO85" s="213"/>
    </row>
    <row r="86" spans="1:41" x14ac:dyDescent="0.35">
      <c r="A86" s="213"/>
      <c r="B86" s="199"/>
      <c r="C86" s="199"/>
      <c r="D86" s="213"/>
      <c r="E86" s="213"/>
      <c r="F86" s="213"/>
      <c r="G86" s="213"/>
      <c r="H86" s="213"/>
      <c r="V86" s="213"/>
      <c r="W86" s="213"/>
      <c r="X86" s="213"/>
      <c r="Y86" s="213"/>
      <c r="AL86" s="213"/>
      <c r="AM86" s="213"/>
      <c r="AN86" s="213"/>
      <c r="AO86" s="213"/>
    </row>
    <row r="87" spans="1:41" x14ac:dyDescent="0.35">
      <c r="A87" s="213"/>
      <c r="B87" s="199"/>
      <c r="C87" s="199"/>
      <c r="D87" s="213"/>
      <c r="E87" s="213"/>
      <c r="F87" s="213"/>
      <c r="G87" s="213"/>
      <c r="H87" s="213"/>
      <c r="V87" s="213"/>
      <c r="W87" s="213"/>
      <c r="X87" s="213"/>
      <c r="Y87" s="213"/>
      <c r="AL87" s="213"/>
      <c r="AM87" s="213"/>
      <c r="AN87" s="213"/>
      <c r="AO87" s="213"/>
    </row>
    <row r="88" spans="1:41" x14ac:dyDescent="0.35">
      <c r="A88" s="213"/>
      <c r="B88" s="199"/>
      <c r="C88" s="199"/>
      <c r="D88" s="213"/>
      <c r="E88" s="213"/>
      <c r="F88" s="213"/>
      <c r="G88" s="213"/>
      <c r="H88" s="213"/>
      <c r="V88" s="213"/>
      <c r="W88" s="213"/>
      <c r="X88" s="213"/>
      <c r="Y88" s="213"/>
      <c r="AL88" s="213"/>
      <c r="AM88" s="213"/>
      <c r="AN88" s="213"/>
      <c r="AO88" s="213"/>
    </row>
    <row r="89" spans="1:41" x14ac:dyDescent="0.35">
      <c r="A89" s="213"/>
      <c r="B89" s="199"/>
      <c r="C89" s="199"/>
      <c r="D89" s="213"/>
      <c r="E89" s="213"/>
      <c r="F89" s="213"/>
      <c r="G89" s="213"/>
      <c r="H89" s="213"/>
      <c r="V89" s="213"/>
      <c r="W89" s="213"/>
      <c r="X89" s="213"/>
      <c r="Y89" s="213"/>
      <c r="AL89" s="213"/>
      <c r="AM89" s="213"/>
      <c r="AN89" s="213"/>
      <c r="AO89" s="213"/>
    </row>
    <row r="90" spans="1:41" x14ac:dyDescent="0.35">
      <c r="A90" s="213"/>
      <c r="B90" s="199"/>
      <c r="C90" s="199"/>
      <c r="D90" s="213"/>
      <c r="E90" s="213"/>
      <c r="F90" s="213"/>
      <c r="G90" s="213"/>
      <c r="H90" s="213"/>
      <c r="V90" s="213"/>
      <c r="W90" s="213"/>
      <c r="X90" s="213"/>
      <c r="Y90" s="213"/>
      <c r="AL90" s="213"/>
      <c r="AM90" s="213"/>
      <c r="AN90" s="213"/>
      <c r="AO90" s="213"/>
    </row>
    <row r="91" spans="1:41" x14ac:dyDescent="0.35">
      <c r="A91" s="213"/>
      <c r="B91" s="199"/>
      <c r="C91" s="199"/>
      <c r="D91" s="213"/>
      <c r="E91" s="213"/>
      <c r="F91" s="213"/>
      <c r="G91" s="213"/>
      <c r="H91" s="213"/>
      <c r="V91" s="213"/>
      <c r="W91" s="213"/>
      <c r="X91" s="213"/>
      <c r="Y91" s="213"/>
      <c r="AL91" s="213"/>
      <c r="AM91" s="213"/>
      <c r="AN91" s="213"/>
      <c r="AO91" s="213"/>
    </row>
    <row r="92" spans="1:41" x14ac:dyDescent="0.35">
      <c r="A92" s="213"/>
      <c r="B92" s="199"/>
      <c r="C92" s="199"/>
      <c r="D92" s="213"/>
      <c r="E92" s="213"/>
      <c r="F92" s="213"/>
      <c r="G92" s="213"/>
      <c r="H92" s="213"/>
      <c r="V92" s="213"/>
      <c r="W92" s="213"/>
      <c r="X92" s="213"/>
      <c r="Y92" s="213"/>
      <c r="AL92" s="213"/>
      <c r="AM92" s="213"/>
      <c r="AN92" s="213"/>
      <c r="AO92" s="213"/>
    </row>
    <row r="93" spans="1:41" x14ac:dyDescent="0.35">
      <c r="A93" s="213"/>
      <c r="B93" s="199"/>
      <c r="C93" s="199"/>
      <c r="D93" s="213"/>
      <c r="E93" s="213"/>
      <c r="F93" s="213"/>
      <c r="G93" s="213"/>
      <c r="H93" s="213"/>
      <c r="V93" s="213"/>
      <c r="W93" s="213"/>
      <c r="X93" s="213"/>
      <c r="Y93" s="213"/>
      <c r="AL93" s="213"/>
      <c r="AM93" s="213"/>
      <c r="AN93" s="213"/>
      <c r="AO93" s="213"/>
    </row>
    <row r="94" spans="1:41" x14ac:dyDescent="0.35">
      <c r="A94" s="213"/>
      <c r="B94" s="199"/>
      <c r="C94" s="199"/>
      <c r="D94" s="213"/>
      <c r="E94" s="213"/>
      <c r="F94" s="213"/>
      <c r="G94" s="213"/>
      <c r="H94" s="213"/>
      <c r="V94" s="213"/>
      <c r="W94" s="213"/>
      <c r="X94" s="213"/>
      <c r="Y94" s="213"/>
      <c r="AL94" s="213"/>
      <c r="AM94" s="213"/>
      <c r="AN94" s="213"/>
      <c r="AO94" s="213"/>
    </row>
    <row r="95" spans="1:41" x14ac:dyDescent="0.35">
      <c r="A95" s="213"/>
      <c r="B95" s="199"/>
      <c r="C95" s="199"/>
      <c r="D95" s="213"/>
      <c r="E95" s="213"/>
      <c r="F95" s="213"/>
      <c r="G95" s="213"/>
      <c r="H95" s="213"/>
      <c r="V95" s="213"/>
      <c r="W95" s="213"/>
      <c r="X95" s="213"/>
      <c r="Y95" s="213"/>
      <c r="AL95" s="213"/>
      <c r="AM95" s="213"/>
      <c r="AN95" s="213"/>
      <c r="AO95" s="213"/>
    </row>
    <row r="96" spans="1:41" x14ac:dyDescent="0.35">
      <c r="A96" s="213"/>
      <c r="B96" s="199"/>
      <c r="C96" s="199"/>
      <c r="D96" s="213"/>
      <c r="E96" s="213"/>
      <c r="F96" s="213"/>
      <c r="G96" s="213"/>
      <c r="H96" s="213"/>
      <c r="V96" s="213"/>
      <c r="W96" s="213"/>
      <c r="X96" s="213"/>
      <c r="Y96" s="213"/>
      <c r="AL96" s="213"/>
      <c r="AM96" s="213"/>
      <c r="AN96" s="213"/>
      <c r="AO96" s="213"/>
    </row>
    <row r="97" spans="1:41" x14ac:dyDescent="0.35">
      <c r="A97" s="213"/>
      <c r="B97" s="199"/>
      <c r="C97" s="199"/>
      <c r="D97" s="213"/>
      <c r="E97" s="213"/>
      <c r="F97" s="213"/>
      <c r="G97" s="213"/>
      <c r="H97" s="213"/>
      <c r="V97" s="213"/>
      <c r="W97" s="213"/>
      <c r="X97" s="213"/>
      <c r="Y97" s="213"/>
      <c r="AL97" s="213"/>
      <c r="AM97" s="213"/>
      <c r="AN97" s="213"/>
      <c r="AO97" s="213"/>
    </row>
    <row r="98" spans="1:41" x14ac:dyDescent="0.35">
      <c r="A98" s="213"/>
      <c r="B98" s="199"/>
      <c r="C98" s="199"/>
      <c r="D98" s="213"/>
      <c r="E98" s="213"/>
      <c r="F98" s="213"/>
      <c r="G98" s="213"/>
      <c r="H98" s="213"/>
      <c r="V98" s="213"/>
      <c r="W98" s="213"/>
      <c r="X98" s="213"/>
      <c r="Y98" s="213"/>
      <c r="AL98" s="213"/>
      <c r="AM98" s="213"/>
      <c r="AN98" s="213"/>
      <c r="AO98" s="213"/>
    </row>
  </sheetData>
  <mergeCells count="31">
    <mergeCell ref="P52:Q52"/>
    <mergeCell ref="E1:T1"/>
    <mergeCell ref="E2:T2"/>
    <mergeCell ref="E3:T3"/>
    <mergeCell ref="E4:F4"/>
    <mergeCell ref="G4:I4"/>
    <mergeCell ref="J4:M4"/>
    <mergeCell ref="N4:P4"/>
    <mergeCell ref="Q4:S4"/>
    <mergeCell ref="A1:A4"/>
    <mergeCell ref="B1:B4"/>
    <mergeCell ref="C1:C4"/>
    <mergeCell ref="D1:D4"/>
    <mergeCell ref="V1:AJ1"/>
    <mergeCell ref="V2:AJ2"/>
    <mergeCell ref="V3:AJ3"/>
    <mergeCell ref="V4:W4"/>
    <mergeCell ref="X4:Z4"/>
    <mergeCell ref="AA4:AC4"/>
    <mergeCell ref="AD4:AF4"/>
    <mergeCell ref="AG4:AI4"/>
    <mergeCell ref="AF52:AG52"/>
    <mergeCell ref="AL1:AZ1"/>
    <mergeCell ref="AL2:AZ2"/>
    <mergeCell ref="AL3:AZ3"/>
    <mergeCell ref="AL4:AM4"/>
    <mergeCell ref="AN4:AP4"/>
    <mergeCell ref="AQ4:AS4"/>
    <mergeCell ref="AT4:AV4"/>
    <mergeCell ref="AW4:AY4"/>
    <mergeCell ref="AV52:AW5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I98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N6" sqref="N6"/>
    </sheetView>
  </sheetViews>
  <sheetFormatPr defaultRowHeight="14.5" x14ac:dyDescent="0.35"/>
  <cols>
    <col min="1" max="1" width="5.7265625" style="222" bestFit="1" customWidth="1"/>
    <col min="2" max="2" width="12.81640625" bestFit="1" customWidth="1"/>
    <col min="3" max="3" width="34.54296875" bestFit="1" customWidth="1"/>
    <col min="4" max="4" width="11.453125" bestFit="1" customWidth="1"/>
    <col min="5" max="8" width="6.7265625" style="222" customWidth="1"/>
    <col min="9" max="9" width="7.7265625" bestFit="1" customWidth="1"/>
    <col min="10" max="11" width="6.7265625" customWidth="1"/>
    <col min="12" max="12" width="7.7265625" bestFit="1" customWidth="1"/>
    <col min="13" max="14" width="6.7265625" customWidth="1"/>
    <col min="15" max="15" width="8" bestFit="1" customWidth="1"/>
    <col min="16" max="17" width="6.7265625" customWidth="1"/>
    <col min="18" max="18" width="7.7265625" bestFit="1" customWidth="1"/>
    <col min="19" max="19" width="12.81640625" style="222" bestFit="1" customWidth="1"/>
    <col min="21" max="24" width="6.7265625" style="222" customWidth="1"/>
    <col min="25" max="25" width="7.7265625" bestFit="1" customWidth="1"/>
    <col min="26" max="27" width="6.7265625" customWidth="1"/>
    <col min="28" max="28" width="7.7265625" bestFit="1" customWidth="1"/>
    <col min="29" max="30" width="6.7265625" customWidth="1"/>
    <col min="31" max="31" width="8" bestFit="1" customWidth="1"/>
    <col min="32" max="33" width="6.7265625" customWidth="1"/>
    <col min="34" max="34" width="7.7265625" bestFit="1" customWidth="1"/>
    <col min="35" max="35" width="12.81640625" style="222" bestFit="1" customWidth="1"/>
  </cols>
  <sheetData>
    <row r="1" spans="1:35" s="219" customFormat="1" ht="18.5" x14ac:dyDescent="0.45">
      <c r="A1" s="468" t="s">
        <v>1</v>
      </c>
      <c r="B1" s="470" t="s">
        <v>2</v>
      </c>
      <c r="C1" s="470" t="s">
        <v>3</v>
      </c>
      <c r="D1" s="472" t="s">
        <v>36</v>
      </c>
      <c r="E1" s="474" t="s">
        <v>234</v>
      </c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6"/>
      <c r="U1" s="474" t="s">
        <v>234</v>
      </c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6"/>
    </row>
    <row r="2" spans="1:35" s="219" customFormat="1" ht="18.5" x14ac:dyDescent="0.45">
      <c r="A2" s="469"/>
      <c r="B2" s="471"/>
      <c r="C2" s="471"/>
      <c r="D2" s="473"/>
      <c r="E2" s="478" t="s">
        <v>238</v>
      </c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80"/>
      <c r="U2" s="478" t="s">
        <v>124</v>
      </c>
      <c r="V2" s="479"/>
      <c r="W2" s="479"/>
      <c r="X2" s="479"/>
      <c r="Y2" s="479"/>
      <c r="Z2" s="479"/>
      <c r="AA2" s="479"/>
      <c r="AB2" s="479"/>
      <c r="AC2" s="479"/>
      <c r="AD2" s="479"/>
      <c r="AE2" s="479"/>
      <c r="AF2" s="479"/>
      <c r="AG2" s="479"/>
      <c r="AH2" s="479"/>
      <c r="AI2" s="480"/>
    </row>
    <row r="3" spans="1:35" s="219" customFormat="1" ht="19" thickBot="1" x14ac:dyDescent="0.5">
      <c r="A3" s="469"/>
      <c r="B3" s="471"/>
      <c r="C3" s="471"/>
      <c r="D3" s="473"/>
      <c r="E3" s="481" t="s">
        <v>239</v>
      </c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3"/>
      <c r="U3" s="484" t="s">
        <v>239</v>
      </c>
      <c r="V3" s="485"/>
      <c r="W3" s="485"/>
      <c r="X3" s="485"/>
      <c r="Y3" s="485"/>
      <c r="Z3" s="485"/>
      <c r="AA3" s="485"/>
      <c r="AB3" s="485"/>
      <c r="AC3" s="485"/>
      <c r="AD3" s="485"/>
      <c r="AE3" s="485"/>
      <c r="AF3" s="485"/>
      <c r="AG3" s="485"/>
      <c r="AH3" s="485"/>
      <c r="AI3" s="486"/>
    </row>
    <row r="4" spans="1:35" s="220" customFormat="1" ht="18" x14ac:dyDescent="0.4">
      <c r="A4" s="469"/>
      <c r="B4" s="471"/>
      <c r="C4" s="471"/>
      <c r="D4" s="473"/>
      <c r="E4" s="466" t="s">
        <v>237</v>
      </c>
      <c r="F4" s="477"/>
      <c r="G4" s="463" t="s">
        <v>235</v>
      </c>
      <c r="H4" s="464"/>
      <c r="I4" s="465"/>
      <c r="J4" s="463" t="s">
        <v>16</v>
      </c>
      <c r="K4" s="464"/>
      <c r="L4" s="465"/>
      <c r="M4" s="463" t="s">
        <v>15</v>
      </c>
      <c r="N4" s="464"/>
      <c r="O4" s="465"/>
      <c r="P4" s="463" t="s">
        <v>19</v>
      </c>
      <c r="Q4" s="464"/>
      <c r="R4" s="465"/>
      <c r="S4" s="279" t="s">
        <v>236</v>
      </c>
      <c r="U4" s="466" t="s">
        <v>237</v>
      </c>
      <c r="V4" s="467"/>
      <c r="W4" s="463" t="s">
        <v>235</v>
      </c>
      <c r="X4" s="464"/>
      <c r="Y4" s="465"/>
      <c r="Z4" s="463" t="s">
        <v>16</v>
      </c>
      <c r="AA4" s="464"/>
      <c r="AB4" s="465"/>
      <c r="AC4" s="463" t="s">
        <v>15</v>
      </c>
      <c r="AD4" s="464"/>
      <c r="AE4" s="465"/>
      <c r="AF4" s="463" t="s">
        <v>19</v>
      </c>
      <c r="AG4" s="464"/>
      <c r="AH4" s="465"/>
      <c r="AI4" s="278" t="s">
        <v>236</v>
      </c>
    </row>
    <row r="5" spans="1:35" ht="18" thickBot="1" x14ac:dyDescent="0.4">
      <c r="A5" s="209">
        <v>1</v>
      </c>
      <c r="B5" s="210">
        <v>2</v>
      </c>
      <c r="C5" s="210">
        <v>3</v>
      </c>
      <c r="D5" s="241">
        <v>4</v>
      </c>
      <c r="E5" s="270"/>
      <c r="F5" s="271">
        <v>11</v>
      </c>
      <c r="G5" s="270"/>
      <c r="H5" s="272"/>
      <c r="I5" s="271">
        <v>12</v>
      </c>
      <c r="J5" s="270"/>
      <c r="K5" s="272"/>
      <c r="L5" s="271">
        <v>13</v>
      </c>
      <c r="M5" s="270" t="s">
        <v>240</v>
      </c>
      <c r="N5" s="272" t="s">
        <v>241</v>
      </c>
      <c r="O5" s="271">
        <v>14</v>
      </c>
      <c r="P5" s="270" t="s">
        <v>240</v>
      </c>
      <c r="Q5" s="272" t="s">
        <v>241</v>
      </c>
      <c r="R5" s="271">
        <v>15</v>
      </c>
      <c r="S5" s="273">
        <v>16</v>
      </c>
      <c r="U5" s="270"/>
      <c r="V5" s="276">
        <v>11</v>
      </c>
      <c r="W5" s="270" t="s">
        <v>320</v>
      </c>
      <c r="X5" s="272"/>
      <c r="Y5" s="271">
        <v>12</v>
      </c>
      <c r="Z5" s="270"/>
      <c r="AA5" s="272"/>
      <c r="AB5" s="271">
        <v>13</v>
      </c>
      <c r="AC5" s="270" t="s">
        <v>240</v>
      </c>
      <c r="AD5" s="272" t="s">
        <v>241</v>
      </c>
      <c r="AE5" s="271">
        <v>14</v>
      </c>
      <c r="AF5" s="270" t="s">
        <v>240</v>
      </c>
      <c r="AG5" s="272" t="s">
        <v>241</v>
      </c>
      <c r="AH5" s="271">
        <v>15</v>
      </c>
      <c r="AI5" s="277">
        <v>16</v>
      </c>
    </row>
    <row r="6" spans="1:35" x14ac:dyDescent="0.35">
      <c r="A6" s="246">
        <f>D.SISWA!A6</f>
        <v>1</v>
      </c>
      <c r="B6" s="214">
        <f>D.SISWA!B51</f>
        <v>232401001</v>
      </c>
      <c r="C6" s="214" t="str">
        <f>D.SISWA!C51</f>
        <v>ALGAM RISGI SUGIRMAN</v>
      </c>
      <c r="D6" s="242" t="str">
        <f>D.SISWA!D51</f>
        <v>XII ACP</v>
      </c>
      <c r="E6" s="263">
        <v>1</v>
      </c>
      <c r="F6" s="264" t="str">
        <f>IF(E6&gt;=30,"87",IF(E6&gt;=25,"84",IF(E6&gt;=20,"81",IF(E6&gt;=15,"78","60"))))</f>
        <v>60</v>
      </c>
      <c r="G6" s="263"/>
      <c r="H6" s="265"/>
      <c r="I6" s="266" t="e">
        <f>AVERAGE(G6:H6)</f>
        <v>#DIV/0!</v>
      </c>
      <c r="J6" s="267">
        <v>79</v>
      </c>
      <c r="K6" s="268"/>
      <c r="L6" s="266">
        <f>AVERAGE(J6:K6)</f>
        <v>79</v>
      </c>
      <c r="M6" s="267"/>
      <c r="N6" s="268">
        <v>85</v>
      </c>
      <c r="O6" s="266">
        <f>AVERAGE(M6:N6)</f>
        <v>85</v>
      </c>
      <c r="P6" s="267"/>
      <c r="Q6" s="268"/>
      <c r="R6" s="266" t="e">
        <f>AVERAGE(P6:Q6)</f>
        <v>#DIV/0!</v>
      </c>
      <c r="S6" s="269" t="e">
        <f>(0.35*F6)+(0.25*I6)+(0.1*L6)+(0.15*O6)+(0.15*R6)</f>
        <v>#DIV/0!</v>
      </c>
      <c r="U6" s="263"/>
      <c r="V6" s="274" t="str">
        <f>IF(U6&gt;=30,"87",IF(U6&gt;=25,"84",IF(U6&gt;=20,"81",IF(U6&gt;=15,"78","60"))))</f>
        <v>60</v>
      </c>
      <c r="W6" s="263">
        <v>79</v>
      </c>
      <c r="X6" s="265"/>
      <c r="Y6" s="266">
        <f>AVERAGE(W6:X6)</f>
        <v>79</v>
      </c>
      <c r="Z6" s="267">
        <v>90</v>
      </c>
      <c r="AA6" s="268"/>
      <c r="AB6" s="266">
        <f>AVERAGE(Z6:AA6)</f>
        <v>90</v>
      </c>
      <c r="AC6" s="267">
        <v>71</v>
      </c>
      <c r="AD6" s="268"/>
      <c r="AE6" s="266">
        <f>AVERAGE(AC6:AD6)</f>
        <v>71</v>
      </c>
      <c r="AF6" s="267"/>
      <c r="AG6" s="268"/>
      <c r="AH6" s="266" t="e">
        <f>AVERAGE(AF6:AG6)</f>
        <v>#DIV/0!</v>
      </c>
      <c r="AI6" s="275" t="e">
        <f>(0.35*V6)+(0.25*Y6)+(0.1*AB6)+(0.15*AE6)+(0.15*AH6)</f>
        <v>#DIV/0!</v>
      </c>
    </row>
    <row r="7" spans="1:35" x14ac:dyDescent="0.35">
      <c r="A7" s="246">
        <f>D.SISWA!A7</f>
        <v>2</v>
      </c>
      <c r="B7" s="214">
        <f>D.SISWA!B52</f>
        <v>232401002</v>
      </c>
      <c r="C7" s="214" t="str">
        <f>D.SISWA!C52</f>
        <v>CIKAL PUTRA SUBRANI</v>
      </c>
      <c r="D7" s="242" t="str">
        <f>D.SISWA!D52</f>
        <v>XII ACP</v>
      </c>
      <c r="E7" s="246">
        <v>1</v>
      </c>
      <c r="F7" s="247" t="str">
        <f t="shared" ref="F7:F24" si="0">IF(E7&gt;=30,"87",IF(E7&gt;=25,"84",IF(E7&gt;=20,"81",IF(E7&gt;=15,"78","60"))))</f>
        <v>60</v>
      </c>
      <c r="G7" s="246"/>
      <c r="H7" s="217"/>
      <c r="I7" s="223" t="e">
        <f t="shared" ref="I7:I24" si="1">AVERAGE(G7:H7)</f>
        <v>#DIV/0!</v>
      </c>
      <c r="J7" s="254">
        <v>100</v>
      </c>
      <c r="K7" s="179"/>
      <c r="L7" s="223">
        <f t="shared" ref="L7:L24" si="2">AVERAGE(J7:K7)</f>
        <v>100</v>
      </c>
      <c r="M7" s="254"/>
      <c r="N7" s="268">
        <v>85</v>
      </c>
      <c r="O7" s="223">
        <f t="shared" ref="O7:O24" si="3">AVERAGE(M7:N7)</f>
        <v>85</v>
      </c>
      <c r="P7" s="254"/>
      <c r="Q7" s="179"/>
      <c r="R7" s="223" t="e">
        <f t="shared" ref="R7:R24" si="4">AVERAGE(P7:Q7)</f>
        <v>#DIV/0!</v>
      </c>
      <c r="S7" s="262" t="e">
        <f t="shared" ref="S7:S23" si="5">(0.35*F7)+(0.25*I7)+(0.1*L7)+(0.15*O7)+(0.15*R7)</f>
        <v>#DIV/0!</v>
      </c>
      <c r="U7" s="246"/>
      <c r="V7" s="260" t="str">
        <f t="shared" ref="V7:V53" si="6">IF(U7&gt;=30,"87",IF(U7&gt;=25,"84",IF(U7&gt;=20,"81",IF(U7&gt;=15,"78","60"))))</f>
        <v>60</v>
      </c>
      <c r="W7" s="263">
        <v>79</v>
      </c>
      <c r="X7" s="217"/>
      <c r="Y7" s="223">
        <f t="shared" ref="Y7:Y53" si="7">AVERAGE(W7:X7)</f>
        <v>79</v>
      </c>
      <c r="Z7" s="254">
        <v>78</v>
      </c>
      <c r="AA7" s="179"/>
      <c r="AB7" s="223">
        <f t="shared" ref="AB7:AB53" si="8">AVERAGE(Z7:AA7)</f>
        <v>78</v>
      </c>
      <c r="AC7" s="254">
        <v>65</v>
      </c>
      <c r="AD7" s="179"/>
      <c r="AE7" s="223">
        <f t="shared" ref="AE7:AE53" si="9">AVERAGE(AC7:AD7)</f>
        <v>65</v>
      </c>
      <c r="AF7" s="254"/>
      <c r="AG7" s="179"/>
      <c r="AH7" s="223" t="e">
        <f t="shared" ref="AH7:AH53" si="10">AVERAGE(AF7:AG7)</f>
        <v>#DIV/0!</v>
      </c>
      <c r="AI7" s="257" t="e">
        <f t="shared" ref="AI7:AI24" si="11">(0.35*V7)+(0.25*Y7)+(0.1*AB7)+(0.15*AE7)+(0.15*AH7)</f>
        <v>#DIV/0!</v>
      </c>
    </row>
    <row r="8" spans="1:35" x14ac:dyDescent="0.35">
      <c r="A8" s="246">
        <f>D.SISWA!A8</f>
        <v>3</v>
      </c>
      <c r="B8" s="214">
        <f>D.SISWA!B53</f>
        <v>232401003</v>
      </c>
      <c r="C8" s="214" t="str">
        <f>D.SISWA!C53</f>
        <v>DODI ARIL FAUZI</v>
      </c>
      <c r="D8" s="242" t="str">
        <f>D.SISWA!D53</f>
        <v>XII ACP</v>
      </c>
      <c r="E8" s="246">
        <v>0</v>
      </c>
      <c r="F8" s="247" t="str">
        <f t="shared" si="0"/>
        <v>60</v>
      </c>
      <c r="G8" s="246"/>
      <c r="H8" s="217"/>
      <c r="I8" s="223" t="e">
        <f t="shared" si="1"/>
        <v>#DIV/0!</v>
      </c>
      <c r="J8" s="254">
        <v>83</v>
      </c>
      <c r="K8" s="179"/>
      <c r="L8" s="223">
        <f t="shared" si="2"/>
        <v>83</v>
      </c>
      <c r="M8" s="254"/>
      <c r="N8" s="268">
        <v>85</v>
      </c>
      <c r="O8" s="223">
        <f t="shared" si="3"/>
        <v>85</v>
      </c>
      <c r="P8" s="254"/>
      <c r="Q8" s="179"/>
      <c r="R8" s="223" t="e">
        <f t="shared" si="4"/>
        <v>#DIV/0!</v>
      </c>
      <c r="S8" s="262" t="e">
        <f t="shared" si="5"/>
        <v>#DIV/0!</v>
      </c>
      <c r="U8" s="246"/>
      <c r="V8" s="260" t="str">
        <f t="shared" si="6"/>
        <v>60</v>
      </c>
      <c r="W8" s="263">
        <v>79</v>
      </c>
      <c r="X8" s="217"/>
      <c r="Y8" s="223">
        <f t="shared" si="7"/>
        <v>79</v>
      </c>
      <c r="Z8" s="254">
        <v>100</v>
      </c>
      <c r="AA8" s="179"/>
      <c r="AB8" s="223">
        <f t="shared" si="8"/>
        <v>100</v>
      </c>
      <c r="AC8" s="254">
        <v>87</v>
      </c>
      <c r="AD8" s="179"/>
      <c r="AE8" s="223">
        <f t="shared" si="9"/>
        <v>87</v>
      </c>
      <c r="AF8" s="254"/>
      <c r="AG8" s="179"/>
      <c r="AH8" s="223" t="e">
        <f t="shared" si="10"/>
        <v>#DIV/0!</v>
      </c>
      <c r="AI8" s="257" t="e">
        <f t="shared" si="11"/>
        <v>#DIV/0!</v>
      </c>
    </row>
    <row r="9" spans="1:35" x14ac:dyDescent="0.35">
      <c r="A9" s="246">
        <f>D.SISWA!A9</f>
        <v>4</v>
      </c>
      <c r="B9" s="214">
        <f>D.SISWA!B54</f>
        <v>232401004</v>
      </c>
      <c r="C9" s="214" t="str">
        <f>D.SISWA!C54</f>
        <v>EKI APRIANSYAH</v>
      </c>
      <c r="D9" s="242" t="str">
        <f>D.SISWA!D54</f>
        <v>XII ACP</v>
      </c>
      <c r="E9" s="246">
        <v>0</v>
      </c>
      <c r="F9" s="247" t="str">
        <f t="shared" si="0"/>
        <v>60</v>
      </c>
      <c r="G9" s="246"/>
      <c r="H9" s="217"/>
      <c r="I9" s="223" t="e">
        <f t="shared" si="1"/>
        <v>#DIV/0!</v>
      </c>
      <c r="J9" s="254">
        <v>89</v>
      </c>
      <c r="K9" s="179"/>
      <c r="L9" s="223">
        <f t="shared" si="2"/>
        <v>89</v>
      </c>
      <c r="M9" s="254"/>
      <c r="N9" s="268">
        <v>85</v>
      </c>
      <c r="O9" s="223">
        <f t="shared" si="3"/>
        <v>85</v>
      </c>
      <c r="P9" s="254"/>
      <c r="Q9" s="179"/>
      <c r="R9" s="223" t="e">
        <f t="shared" si="4"/>
        <v>#DIV/0!</v>
      </c>
      <c r="S9" s="262" t="e">
        <f t="shared" si="5"/>
        <v>#DIV/0!</v>
      </c>
      <c r="U9" s="246"/>
      <c r="V9" s="260" t="str">
        <f t="shared" si="6"/>
        <v>60</v>
      </c>
      <c r="W9" s="246">
        <v>85</v>
      </c>
      <c r="X9" s="217"/>
      <c r="Y9" s="223">
        <f t="shared" si="7"/>
        <v>85</v>
      </c>
      <c r="Z9" s="254">
        <v>100</v>
      </c>
      <c r="AA9" s="179"/>
      <c r="AB9" s="223">
        <f t="shared" si="8"/>
        <v>100</v>
      </c>
      <c r="AC9" s="254">
        <v>59</v>
      </c>
      <c r="AD9" s="179"/>
      <c r="AE9" s="223">
        <f t="shared" si="9"/>
        <v>59</v>
      </c>
      <c r="AF9" s="254"/>
      <c r="AG9" s="179"/>
      <c r="AH9" s="223" t="e">
        <f t="shared" si="10"/>
        <v>#DIV/0!</v>
      </c>
      <c r="AI9" s="257" t="e">
        <f t="shared" si="11"/>
        <v>#DIV/0!</v>
      </c>
    </row>
    <row r="10" spans="1:35" x14ac:dyDescent="0.35">
      <c r="A10" s="246">
        <f>D.SISWA!A10</f>
        <v>5</v>
      </c>
      <c r="B10" s="214">
        <f>D.SISWA!B55</f>
        <v>232401005</v>
      </c>
      <c r="C10" s="214" t="str">
        <f>D.SISWA!C55</f>
        <v>ENENG SALSA NABILA</v>
      </c>
      <c r="D10" s="242" t="str">
        <f>D.SISWA!D55</f>
        <v>XII ACP</v>
      </c>
      <c r="E10" s="246">
        <v>1</v>
      </c>
      <c r="F10" s="247" t="str">
        <f t="shared" si="0"/>
        <v>60</v>
      </c>
      <c r="G10" s="246"/>
      <c r="H10" s="217"/>
      <c r="I10" s="223" t="e">
        <f t="shared" si="1"/>
        <v>#DIV/0!</v>
      </c>
      <c r="J10" s="254">
        <v>83</v>
      </c>
      <c r="K10" s="179"/>
      <c r="L10" s="223">
        <f t="shared" si="2"/>
        <v>83</v>
      </c>
      <c r="M10" s="254"/>
      <c r="N10" s="268">
        <v>85</v>
      </c>
      <c r="O10" s="223">
        <f t="shared" si="3"/>
        <v>85</v>
      </c>
      <c r="P10" s="254"/>
      <c r="Q10" s="179"/>
      <c r="R10" s="223" t="e">
        <f t="shared" si="4"/>
        <v>#DIV/0!</v>
      </c>
      <c r="S10" s="262" t="e">
        <f t="shared" si="5"/>
        <v>#DIV/0!</v>
      </c>
      <c r="U10" s="246"/>
      <c r="V10" s="260" t="str">
        <f t="shared" si="6"/>
        <v>60</v>
      </c>
      <c r="W10" s="246">
        <v>79</v>
      </c>
      <c r="X10" s="217"/>
      <c r="Y10" s="223">
        <f t="shared" si="7"/>
        <v>79</v>
      </c>
      <c r="Z10" s="254">
        <v>79</v>
      </c>
      <c r="AA10" s="179"/>
      <c r="AB10" s="223">
        <f t="shared" si="8"/>
        <v>79</v>
      </c>
      <c r="AC10" s="254">
        <v>49</v>
      </c>
      <c r="AD10" s="179"/>
      <c r="AE10" s="223">
        <f t="shared" si="9"/>
        <v>49</v>
      </c>
      <c r="AF10" s="254"/>
      <c r="AG10" s="179"/>
      <c r="AH10" s="223" t="e">
        <f t="shared" si="10"/>
        <v>#DIV/0!</v>
      </c>
      <c r="AI10" s="257" t="e">
        <f t="shared" si="11"/>
        <v>#DIV/0!</v>
      </c>
    </row>
    <row r="11" spans="1:35" x14ac:dyDescent="0.35">
      <c r="A11" s="246">
        <f>D.SISWA!A11</f>
        <v>6</v>
      </c>
      <c r="B11" s="214">
        <f>D.SISWA!B56</f>
        <v>232401006</v>
      </c>
      <c r="C11" s="214" t="str">
        <f>D.SISWA!C56</f>
        <v>ERWIN SUHERWAN</v>
      </c>
      <c r="D11" s="242" t="str">
        <f>D.SISWA!D56</f>
        <v>XII ACP</v>
      </c>
      <c r="E11" s="246">
        <v>0</v>
      </c>
      <c r="F11" s="247" t="str">
        <f t="shared" si="0"/>
        <v>60</v>
      </c>
      <c r="G11" s="246"/>
      <c r="H11" s="217"/>
      <c r="I11" s="223" t="e">
        <f t="shared" si="1"/>
        <v>#DIV/0!</v>
      </c>
      <c r="J11" s="254">
        <v>83</v>
      </c>
      <c r="K11" s="179"/>
      <c r="L11" s="223">
        <f t="shared" si="2"/>
        <v>83</v>
      </c>
      <c r="M11" s="254"/>
      <c r="N11" s="268">
        <v>85</v>
      </c>
      <c r="O11" s="223">
        <f t="shared" si="3"/>
        <v>85</v>
      </c>
      <c r="P11" s="254"/>
      <c r="Q11" s="179"/>
      <c r="R11" s="223" t="e">
        <f t="shared" si="4"/>
        <v>#DIV/0!</v>
      </c>
      <c r="S11" s="262" t="e">
        <f t="shared" si="5"/>
        <v>#DIV/0!</v>
      </c>
      <c r="U11" s="246"/>
      <c r="V11" s="260" t="str">
        <f t="shared" si="6"/>
        <v>60</v>
      </c>
      <c r="W11" s="246">
        <v>79</v>
      </c>
      <c r="X11" s="217"/>
      <c r="Y11" s="223">
        <f t="shared" si="7"/>
        <v>79</v>
      </c>
      <c r="Z11" s="254">
        <v>84</v>
      </c>
      <c r="AA11" s="179"/>
      <c r="AB11" s="223">
        <f t="shared" si="8"/>
        <v>84</v>
      </c>
      <c r="AC11" s="254">
        <v>85</v>
      </c>
      <c r="AD11" s="179"/>
      <c r="AE11" s="223">
        <f t="shared" si="9"/>
        <v>85</v>
      </c>
      <c r="AF11" s="254"/>
      <c r="AG11" s="179"/>
      <c r="AH11" s="223" t="e">
        <f t="shared" si="10"/>
        <v>#DIV/0!</v>
      </c>
      <c r="AI11" s="257" t="e">
        <f t="shared" si="11"/>
        <v>#DIV/0!</v>
      </c>
    </row>
    <row r="12" spans="1:35" x14ac:dyDescent="0.35">
      <c r="A12" s="246">
        <f>D.SISWA!A12</f>
        <v>7</v>
      </c>
      <c r="B12" s="214">
        <f>D.SISWA!B57</f>
        <v>232401007</v>
      </c>
      <c r="C12" s="214" t="str">
        <f>D.SISWA!C57</f>
        <v>FAUZAN SYA'BAN NUR'ISLAM</v>
      </c>
      <c r="D12" s="242" t="str">
        <f>D.SISWA!D57</f>
        <v>XII ACP</v>
      </c>
      <c r="E12" s="246">
        <v>1</v>
      </c>
      <c r="F12" s="247" t="str">
        <f t="shared" si="0"/>
        <v>60</v>
      </c>
      <c r="G12" s="246"/>
      <c r="H12" s="217"/>
      <c r="I12" s="223" t="e">
        <f t="shared" si="1"/>
        <v>#DIV/0!</v>
      </c>
      <c r="J12" s="254">
        <v>92</v>
      </c>
      <c r="K12" s="179"/>
      <c r="L12" s="223">
        <f t="shared" si="2"/>
        <v>92</v>
      </c>
      <c r="M12" s="254"/>
      <c r="N12" s="268">
        <v>86</v>
      </c>
      <c r="O12" s="223">
        <f t="shared" si="3"/>
        <v>86</v>
      </c>
      <c r="P12" s="254"/>
      <c r="Q12" s="179"/>
      <c r="R12" s="223" t="e">
        <f t="shared" si="4"/>
        <v>#DIV/0!</v>
      </c>
      <c r="S12" s="262" t="e">
        <f t="shared" si="5"/>
        <v>#DIV/0!</v>
      </c>
      <c r="U12" s="246"/>
      <c r="V12" s="260" t="str">
        <f t="shared" si="6"/>
        <v>60</v>
      </c>
      <c r="W12" s="246">
        <v>79</v>
      </c>
      <c r="X12" s="217"/>
      <c r="Y12" s="223">
        <f t="shared" si="7"/>
        <v>79</v>
      </c>
      <c r="Z12" s="254">
        <v>78</v>
      </c>
      <c r="AA12" s="179"/>
      <c r="AB12" s="223">
        <f t="shared" si="8"/>
        <v>78</v>
      </c>
      <c r="AC12" s="254">
        <v>89</v>
      </c>
      <c r="AD12" s="179"/>
      <c r="AE12" s="223">
        <f t="shared" si="9"/>
        <v>89</v>
      </c>
      <c r="AF12" s="254"/>
      <c r="AG12" s="179"/>
      <c r="AH12" s="223" t="e">
        <f t="shared" si="10"/>
        <v>#DIV/0!</v>
      </c>
      <c r="AI12" s="257" t="e">
        <f t="shared" si="11"/>
        <v>#DIV/0!</v>
      </c>
    </row>
    <row r="13" spans="1:35" x14ac:dyDescent="0.35">
      <c r="A13" s="246">
        <f>D.SISWA!A13</f>
        <v>8</v>
      </c>
      <c r="B13" s="214">
        <f>D.SISWA!B58</f>
        <v>232401008</v>
      </c>
      <c r="C13" s="214" t="str">
        <f>D.SISWA!C58</f>
        <v>HERMAWAN ANGGARA</v>
      </c>
      <c r="D13" s="242" t="str">
        <f>D.SISWA!D58</f>
        <v>XII ACP</v>
      </c>
      <c r="E13" s="246">
        <v>1</v>
      </c>
      <c r="F13" s="247" t="str">
        <f t="shared" si="0"/>
        <v>60</v>
      </c>
      <c r="G13" s="246"/>
      <c r="H13" s="217"/>
      <c r="I13" s="223" t="e">
        <f t="shared" si="1"/>
        <v>#DIV/0!</v>
      </c>
      <c r="J13" s="254">
        <v>85</v>
      </c>
      <c r="K13" s="179"/>
      <c r="L13" s="223">
        <f t="shared" si="2"/>
        <v>85</v>
      </c>
      <c r="M13" s="254"/>
      <c r="N13" s="268">
        <v>85</v>
      </c>
      <c r="O13" s="223">
        <f t="shared" si="3"/>
        <v>85</v>
      </c>
      <c r="P13" s="254"/>
      <c r="Q13" s="179"/>
      <c r="R13" s="223" t="e">
        <f t="shared" si="4"/>
        <v>#DIV/0!</v>
      </c>
      <c r="S13" s="262" t="e">
        <f t="shared" si="5"/>
        <v>#DIV/0!</v>
      </c>
      <c r="U13" s="246"/>
      <c r="V13" s="260" t="str">
        <f t="shared" si="6"/>
        <v>60</v>
      </c>
      <c r="W13" s="246">
        <v>79</v>
      </c>
      <c r="X13" s="217"/>
      <c r="Y13" s="223">
        <f t="shared" si="7"/>
        <v>79</v>
      </c>
      <c r="Z13" s="254">
        <v>79</v>
      </c>
      <c r="AA13" s="179"/>
      <c r="AB13" s="223">
        <f t="shared" si="8"/>
        <v>79</v>
      </c>
      <c r="AC13" s="254">
        <v>81</v>
      </c>
      <c r="AD13" s="179"/>
      <c r="AE13" s="223">
        <f t="shared" si="9"/>
        <v>81</v>
      </c>
      <c r="AF13" s="254"/>
      <c r="AG13" s="179"/>
      <c r="AH13" s="223" t="e">
        <f t="shared" si="10"/>
        <v>#DIV/0!</v>
      </c>
      <c r="AI13" s="257" t="e">
        <f t="shared" si="11"/>
        <v>#DIV/0!</v>
      </c>
    </row>
    <row r="14" spans="1:35" x14ac:dyDescent="0.35">
      <c r="A14" s="246">
        <f>D.SISWA!A14</f>
        <v>9</v>
      </c>
      <c r="B14" s="214">
        <f>D.SISWA!B59</f>
        <v>232401009</v>
      </c>
      <c r="C14" s="214" t="str">
        <f>D.SISWA!C59</f>
        <v>JANNATA TSAMANIYA ARSYISTAWAA</v>
      </c>
      <c r="D14" s="242" t="str">
        <f>D.SISWA!D59</f>
        <v>XII ACP</v>
      </c>
      <c r="E14" s="246">
        <v>0</v>
      </c>
      <c r="F14" s="247" t="str">
        <f t="shared" si="0"/>
        <v>60</v>
      </c>
      <c r="G14" s="246"/>
      <c r="H14" s="217"/>
      <c r="I14" s="223" t="e">
        <f t="shared" si="1"/>
        <v>#DIV/0!</v>
      </c>
      <c r="J14" s="254">
        <v>100</v>
      </c>
      <c r="K14" s="179"/>
      <c r="L14" s="223">
        <f t="shared" si="2"/>
        <v>100</v>
      </c>
      <c r="M14" s="254"/>
      <c r="N14" s="268">
        <v>85</v>
      </c>
      <c r="O14" s="223">
        <f t="shared" si="3"/>
        <v>85</v>
      </c>
      <c r="P14" s="254"/>
      <c r="Q14" s="179"/>
      <c r="R14" s="223" t="e">
        <f t="shared" si="4"/>
        <v>#DIV/0!</v>
      </c>
      <c r="S14" s="262" t="e">
        <f t="shared" si="5"/>
        <v>#DIV/0!</v>
      </c>
      <c r="U14" s="246"/>
      <c r="V14" s="260" t="str">
        <f t="shared" si="6"/>
        <v>60</v>
      </c>
      <c r="W14" s="246">
        <v>79</v>
      </c>
      <c r="X14" s="217"/>
      <c r="Y14" s="223">
        <f t="shared" si="7"/>
        <v>79</v>
      </c>
      <c r="Z14" s="254">
        <v>84</v>
      </c>
      <c r="AA14" s="179"/>
      <c r="AB14" s="223">
        <f t="shared" si="8"/>
        <v>84</v>
      </c>
      <c r="AC14" s="254">
        <v>83</v>
      </c>
      <c r="AD14" s="179"/>
      <c r="AE14" s="223">
        <f t="shared" si="9"/>
        <v>83</v>
      </c>
      <c r="AF14" s="254"/>
      <c r="AG14" s="179"/>
      <c r="AH14" s="223" t="e">
        <f t="shared" si="10"/>
        <v>#DIV/0!</v>
      </c>
      <c r="AI14" s="257" t="e">
        <f t="shared" si="11"/>
        <v>#DIV/0!</v>
      </c>
    </row>
    <row r="15" spans="1:35" x14ac:dyDescent="0.35">
      <c r="A15" s="246">
        <f>D.SISWA!A15</f>
        <v>10</v>
      </c>
      <c r="B15" s="214">
        <f>D.SISWA!B60</f>
        <v>232401011</v>
      </c>
      <c r="C15" s="214" t="str">
        <f>D.SISWA!C60</f>
        <v>KAMILANIYA TSAQILA</v>
      </c>
      <c r="D15" s="242" t="str">
        <f>D.SISWA!D60</f>
        <v>XII ACP</v>
      </c>
      <c r="E15" s="246">
        <v>1</v>
      </c>
      <c r="F15" s="247" t="str">
        <f t="shared" si="0"/>
        <v>60</v>
      </c>
      <c r="G15" s="246"/>
      <c r="H15" s="217"/>
      <c r="I15" s="223" t="e">
        <f t="shared" si="1"/>
        <v>#DIV/0!</v>
      </c>
      <c r="J15" s="254">
        <v>93</v>
      </c>
      <c r="K15" s="179"/>
      <c r="L15" s="223">
        <f t="shared" si="2"/>
        <v>93</v>
      </c>
      <c r="M15" s="254"/>
      <c r="N15" s="268">
        <v>86</v>
      </c>
      <c r="O15" s="223">
        <f t="shared" si="3"/>
        <v>86</v>
      </c>
      <c r="P15" s="254"/>
      <c r="Q15" s="179"/>
      <c r="R15" s="223" t="e">
        <f t="shared" si="4"/>
        <v>#DIV/0!</v>
      </c>
      <c r="S15" s="262" t="e">
        <f t="shared" si="5"/>
        <v>#DIV/0!</v>
      </c>
      <c r="U15" s="246"/>
      <c r="V15" s="260" t="str">
        <f t="shared" si="6"/>
        <v>60</v>
      </c>
      <c r="W15" s="246">
        <v>79</v>
      </c>
      <c r="X15" s="217"/>
      <c r="Y15" s="223">
        <f t="shared" si="7"/>
        <v>79</v>
      </c>
      <c r="Z15" s="254">
        <v>87</v>
      </c>
      <c r="AA15" s="179"/>
      <c r="AB15" s="223">
        <f t="shared" si="8"/>
        <v>87</v>
      </c>
      <c r="AC15" s="254">
        <v>85</v>
      </c>
      <c r="AD15" s="179"/>
      <c r="AE15" s="223">
        <f t="shared" si="9"/>
        <v>85</v>
      </c>
      <c r="AF15" s="254"/>
      <c r="AG15" s="179"/>
      <c r="AH15" s="223" t="e">
        <f t="shared" si="10"/>
        <v>#DIV/0!</v>
      </c>
      <c r="AI15" s="257" t="e">
        <f t="shared" si="11"/>
        <v>#DIV/0!</v>
      </c>
    </row>
    <row r="16" spans="1:35" x14ac:dyDescent="0.35">
      <c r="A16" s="246">
        <f>D.SISWA!A16</f>
        <v>11</v>
      </c>
      <c r="B16" s="214">
        <f>D.SISWA!B61</f>
        <v>232401012</v>
      </c>
      <c r="C16" s="214" t="str">
        <f>D.SISWA!C61</f>
        <v>KURNIASANDI AUNURRAFIQ</v>
      </c>
      <c r="D16" s="242" t="str">
        <f>D.SISWA!D61</f>
        <v>XII ACP</v>
      </c>
      <c r="E16" s="246">
        <v>1</v>
      </c>
      <c r="F16" s="247" t="str">
        <f t="shared" si="0"/>
        <v>60</v>
      </c>
      <c r="G16" s="246"/>
      <c r="H16" s="217"/>
      <c r="I16" s="223" t="e">
        <f t="shared" si="1"/>
        <v>#DIV/0!</v>
      </c>
      <c r="J16" s="254">
        <v>100</v>
      </c>
      <c r="K16" s="179"/>
      <c r="L16" s="223">
        <f t="shared" si="2"/>
        <v>100</v>
      </c>
      <c r="M16" s="254"/>
      <c r="N16" s="268">
        <v>87</v>
      </c>
      <c r="O16" s="223">
        <f t="shared" si="3"/>
        <v>87</v>
      </c>
      <c r="P16" s="254"/>
      <c r="Q16" s="179"/>
      <c r="R16" s="223" t="e">
        <f t="shared" si="4"/>
        <v>#DIV/0!</v>
      </c>
      <c r="S16" s="262" t="e">
        <f t="shared" si="5"/>
        <v>#DIV/0!</v>
      </c>
      <c r="U16" s="246"/>
      <c r="V16" s="260" t="str">
        <f t="shared" si="6"/>
        <v>60</v>
      </c>
      <c r="W16" s="246">
        <v>95</v>
      </c>
      <c r="X16" s="217"/>
      <c r="Y16" s="223">
        <f t="shared" si="7"/>
        <v>95</v>
      </c>
      <c r="Z16" s="254">
        <v>100</v>
      </c>
      <c r="AA16" s="179"/>
      <c r="AB16" s="223">
        <f t="shared" si="8"/>
        <v>100</v>
      </c>
      <c r="AC16" s="254">
        <v>73</v>
      </c>
      <c r="AD16" s="179"/>
      <c r="AE16" s="223">
        <f t="shared" si="9"/>
        <v>73</v>
      </c>
      <c r="AF16" s="254"/>
      <c r="AG16" s="179"/>
      <c r="AH16" s="223" t="e">
        <f t="shared" si="10"/>
        <v>#DIV/0!</v>
      </c>
      <c r="AI16" s="257" t="e">
        <f t="shared" si="11"/>
        <v>#DIV/0!</v>
      </c>
    </row>
    <row r="17" spans="1:35" x14ac:dyDescent="0.35">
      <c r="A17" s="246">
        <f>D.SISWA!A17</f>
        <v>12</v>
      </c>
      <c r="B17" s="214">
        <f>D.SISWA!B62</f>
        <v>232401013</v>
      </c>
      <c r="C17" s="214" t="str">
        <f>D.SISWA!C62</f>
        <v>MIRNA SULASTRI</v>
      </c>
      <c r="D17" s="242" t="str">
        <f>D.SISWA!D62</f>
        <v>XII ACP</v>
      </c>
      <c r="E17" s="246">
        <v>1</v>
      </c>
      <c r="F17" s="247" t="str">
        <f t="shared" si="0"/>
        <v>60</v>
      </c>
      <c r="G17" s="246"/>
      <c r="H17" s="217"/>
      <c r="I17" s="223" t="e">
        <f t="shared" si="1"/>
        <v>#DIV/0!</v>
      </c>
      <c r="J17" s="254">
        <v>90</v>
      </c>
      <c r="K17" s="179"/>
      <c r="L17" s="223">
        <f t="shared" si="2"/>
        <v>90</v>
      </c>
      <c r="M17" s="254"/>
      <c r="N17" s="268">
        <v>85</v>
      </c>
      <c r="O17" s="223">
        <f t="shared" si="3"/>
        <v>85</v>
      </c>
      <c r="P17" s="254"/>
      <c r="Q17" s="179"/>
      <c r="R17" s="223" t="e">
        <f t="shared" si="4"/>
        <v>#DIV/0!</v>
      </c>
      <c r="S17" s="262" t="e">
        <f t="shared" si="5"/>
        <v>#DIV/0!</v>
      </c>
      <c r="U17" s="246"/>
      <c r="V17" s="260" t="str">
        <f t="shared" si="6"/>
        <v>60</v>
      </c>
      <c r="W17" s="246">
        <v>79</v>
      </c>
      <c r="X17" s="217"/>
      <c r="Y17" s="223">
        <f t="shared" si="7"/>
        <v>79</v>
      </c>
      <c r="Z17" s="254">
        <v>89</v>
      </c>
      <c r="AA17" s="179"/>
      <c r="AB17" s="223">
        <f t="shared" si="8"/>
        <v>89</v>
      </c>
      <c r="AC17" s="254">
        <v>63</v>
      </c>
      <c r="AD17" s="179"/>
      <c r="AE17" s="223">
        <f t="shared" si="9"/>
        <v>63</v>
      </c>
      <c r="AF17" s="254"/>
      <c r="AG17" s="179"/>
      <c r="AH17" s="223" t="e">
        <f t="shared" si="10"/>
        <v>#DIV/0!</v>
      </c>
      <c r="AI17" s="257" t="e">
        <f t="shared" si="11"/>
        <v>#DIV/0!</v>
      </c>
    </row>
    <row r="18" spans="1:35" x14ac:dyDescent="0.35">
      <c r="A18" s="246">
        <f>D.SISWA!A18</f>
        <v>13</v>
      </c>
      <c r="B18" s="214">
        <f>D.SISWA!B63</f>
        <v>232401014</v>
      </c>
      <c r="C18" s="214" t="str">
        <f>D.SISWA!C63</f>
        <v>NISWAH KAMILAH NUR ALA</v>
      </c>
      <c r="D18" s="242" t="str">
        <f>D.SISWA!D63</f>
        <v>XII ACP</v>
      </c>
      <c r="E18" s="246">
        <v>1</v>
      </c>
      <c r="F18" s="247" t="str">
        <f t="shared" si="0"/>
        <v>60</v>
      </c>
      <c r="G18" s="246"/>
      <c r="H18" s="217"/>
      <c r="I18" s="223" t="e">
        <f t="shared" si="1"/>
        <v>#DIV/0!</v>
      </c>
      <c r="J18" s="254">
        <v>94</v>
      </c>
      <c r="K18" s="179"/>
      <c r="L18" s="223">
        <f t="shared" si="2"/>
        <v>94</v>
      </c>
      <c r="M18" s="254"/>
      <c r="N18" s="268">
        <v>86</v>
      </c>
      <c r="O18" s="223">
        <f t="shared" si="3"/>
        <v>86</v>
      </c>
      <c r="P18" s="254"/>
      <c r="Q18" s="179"/>
      <c r="R18" s="223" t="e">
        <f t="shared" si="4"/>
        <v>#DIV/0!</v>
      </c>
      <c r="S18" s="262" t="e">
        <f t="shared" si="5"/>
        <v>#DIV/0!</v>
      </c>
      <c r="U18" s="246"/>
      <c r="V18" s="260" t="str">
        <f t="shared" si="6"/>
        <v>60</v>
      </c>
      <c r="W18" s="246">
        <v>79</v>
      </c>
      <c r="X18" s="217"/>
      <c r="Y18" s="223">
        <f t="shared" si="7"/>
        <v>79</v>
      </c>
      <c r="Z18" s="254">
        <v>84</v>
      </c>
      <c r="AA18" s="179"/>
      <c r="AB18" s="223">
        <f t="shared" si="8"/>
        <v>84</v>
      </c>
      <c r="AC18" s="254">
        <v>81</v>
      </c>
      <c r="AD18" s="179"/>
      <c r="AE18" s="223">
        <f t="shared" si="9"/>
        <v>81</v>
      </c>
      <c r="AF18" s="254"/>
      <c r="AG18" s="179"/>
      <c r="AH18" s="223" t="e">
        <f t="shared" si="10"/>
        <v>#DIV/0!</v>
      </c>
      <c r="AI18" s="257" t="e">
        <f t="shared" si="11"/>
        <v>#DIV/0!</v>
      </c>
    </row>
    <row r="19" spans="1:35" x14ac:dyDescent="0.35">
      <c r="A19" s="246">
        <f>D.SISWA!A19</f>
        <v>14</v>
      </c>
      <c r="B19" s="214">
        <f>D.SISWA!B64</f>
        <v>232401015</v>
      </c>
      <c r="C19" s="214" t="str">
        <f>D.SISWA!C64</f>
        <v>RAMDAN ALWIANSYAH</v>
      </c>
      <c r="D19" s="242" t="str">
        <f>D.SISWA!D64</f>
        <v>XII ACP</v>
      </c>
      <c r="E19" s="246">
        <v>0</v>
      </c>
      <c r="F19" s="247" t="str">
        <f t="shared" si="0"/>
        <v>60</v>
      </c>
      <c r="G19" s="246"/>
      <c r="H19" s="217"/>
      <c r="I19" s="223" t="e">
        <f t="shared" si="1"/>
        <v>#DIV/0!</v>
      </c>
      <c r="J19" s="254">
        <v>87</v>
      </c>
      <c r="K19" s="179"/>
      <c r="L19" s="223">
        <f t="shared" si="2"/>
        <v>87</v>
      </c>
      <c r="M19" s="254"/>
      <c r="N19" s="268">
        <v>85</v>
      </c>
      <c r="O19" s="223">
        <f t="shared" si="3"/>
        <v>85</v>
      </c>
      <c r="P19" s="254"/>
      <c r="Q19" s="179"/>
      <c r="R19" s="223" t="e">
        <f t="shared" si="4"/>
        <v>#DIV/0!</v>
      </c>
      <c r="S19" s="262" t="e">
        <f t="shared" si="5"/>
        <v>#DIV/0!</v>
      </c>
      <c r="U19" s="246"/>
      <c r="V19" s="260" t="str">
        <f t="shared" si="6"/>
        <v>60</v>
      </c>
      <c r="W19" s="246">
        <v>79</v>
      </c>
      <c r="X19" s="217"/>
      <c r="Y19" s="223">
        <f t="shared" si="7"/>
        <v>79</v>
      </c>
      <c r="Z19" s="254">
        <v>84</v>
      </c>
      <c r="AA19" s="179"/>
      <c r="AB19" s="223">
        <f t="shared" si="8"/>
        <v>84</v>
      </c>
      <c r="AC19" s="254">
        <v>67</v>
      </c>
      <c r="AD19" s="179"/>
      <c r="AE19" s="223">
        <f t="shared" si="9"/>
        <v>67</v>
      </c>
      <c r="AF19" s="254"/>
      <c r="AG19" s="179"/>
      <c r="AH19" s="223" t="e">
        <f t="shared" si="10"/>
        <v>#DIV/0!</v>
      </c>
      <c r="AI19" s="257" t="e">
        <f t="shared" si="11"/>
        <v>#DIV/0!</v>
      </c>
    </row>
    <row r="20" spans="1:35" x14ac:dyDescent="0.35">
      <c r="A20" s="246">
        <f>D.SISWA!A20</f>
        <v>15</v>
      </c>
      <c r="B20" s="214">
        <f>D.SISWA!B65</f>
        <v>232401016</v>
      </c>
      <c r="C20" s="214" t="str">
        <f>D.SISWA!C65</f>
        <v>REY GUSTIAWAN</v>
      </c>
      <c r="D20" s="242" t="str">
        <f>D.SISWA!D65</f>
        <v>XII ACP</v>
      </c>
      <c r="E20" s="246">
        <v>1</v>
      </c>
      <c r="F20" s="247" t="str">
        <f t="shared" si="0"/>
        <v>60</v>
      </c>
      <c r="G20" s="246"/>
      <c r="H20" s="217"/>
      <c r="I20" s="223" t="e">
        <f t="shared" si="1"/>
        <v>#DIV/0!</v>
      </c>
      <c r="J20" s="254">
        <v>95</v>
      </c>
      <c r="K20" s="179"/>
      <c r="L20" s="223">
        <f t="shared" si="2"/>
        <v>95</v>
      </c>
      <c r="M20" s="254"/>
      <c r="N20" s="268">
        <v>87</v>
      </c>
      <c r="O20" s="223">
        <f t="shared" si="3"/>
        <v>87</v>
      </c>
      <c r="P20" s="254"/>
      <c r="Q20" s="179"/>
      <c r="R20" s="223" t="e">
        <f t="shared" si="4"/>
        <v>#DIV/0!</v>
      </c>
      <c r="S20" s="262" t="e">
        <f t="shared" si="5"/>
        <v>#DIV/0!</v>
      </c>
      <c r="U20" s="246"/>
      <c r="V20" s="260" t="str">
        <f t="shared" si="6"/>
        <v>60</v>
      </c>
      <c r="W20" s="246">
        <v>79</v>
      </c>
      <c r="X20" s="217"/>
      <c r="Y20" s="223">
        <f t="shared" si="7"/>
        <v>79</v>
      </c>
      <c r="Z20" s="254">
        <v>84</v>
      </c>
      <c r="AA20" s="179"/>
      <c r="AB20" s="223">
        <f t="shared" si="8"/>
        <v>84</v>
      </c>
      <c r="AC20" s="254">
        <v>75</v>
      </c>
      <c r="AD20" s="179"/>
      <c r="AE20" s="223">
        <f t="shared" si="9"/>
        <v>75</v>
      </c>
      <c r="AF20" s="254"/>
      <c r="AG20" s="179"/>
      <c r="AH20" s="223" t="e">
        <f t="shared" si="10"/>
        <v>#DIV/0!</v>
      </c>
      <c r="AI20" s="257" t="e">
        <f t="shared" si="11"/>
        <v>#DIV/0!</v>
      </c>
    </row>
    <row r="21" spans="1:35" x14ac:dyDescent="0.35">
      <c r="A21" s="246">
        <f>D.SISWA!A21</f>
        <v>16</v>
      </c>
      <c r="B21" s="214">
        <f>D.SISWA!B66</f>
        <v>232401017</v>
      </c>
      <c r="C21" s="214" t="str">
        <f>D.SISWA!C66</f>
        <v>SITI HASANAH</v>
      </c>
      <c r="D21" s="242" t="str">
        <f>D.SISWA!D66</f>
        <v>XII ACP</v>
      </c>
      <c r="E21" s="246">
        <v>0</v>
      </c>
      <c r="F21" s="247" t="str">
        <f t="shared" si="0"/>
        <v>60</v>
      </c>
      <c r="G21" s="246"/>
      <c r="H21" s="217"/>
      <c r="I21" s="223" t="e">
        <f t="shared" si="1"/>
        <v>#DIV/0!</v>
      </c>
      <c r="J21" s="254">
        <v>79</v>
      </c>
      <c r="K21" s="179"/>
      <c r="L21" s="223">
        <f t="shared" si="2"/>
        <v>79</v>
      </c>
      <c r="M21" s="254"/>
      <c r="N21" s="268">
        <v>85</v>
      </c>
      <c r="O21" s="223">
        <f t="shared" si="3"/>
        <v>85</v>
      </c>
      <c r="P21" s="254"/>
      <c r="Q21" s="179"/>
      <c r="R21" s="223" t="e">
        <f t="shared" si="4"/>
        <v>#DIV/0!</v>
      </c>
      <c r="S21" s="262" t="e">
        <f t="shared" si="5"/>
        <v>#DIV/0!</v>
      </c>
      <c r="U21" s="246"/>
      <c r="V21" s="260" t="str">
        <f t="shared" si="6"/>
        <v>60</v>
      </c>
      <c r="W21" s="246">
        <v>79</v>
      </c>
      <c r="X21" s="217"/>
      <c r="Y21" s="223">
        <f t="shared" si="7"/>
        <v>79</v>
      </c>
      <c r="Z21" s="254">
        <v>73</v>
      </c>
      <c r="AA21" s="179"/>
      <c r="AB21" s="223">
        <f t="shared" si="8"/>
        <v>73</v>
      </c>
      <c r="AC21" s="254">
        <v>51</v>
      </c>
      <c r="AD21" s="179"/>
      <c r="AE21" s="223">
        <f t="shared" si="9"/>
        <v>51</v>
      </c>
      <c r="AF21" s="254"/>
      <c r="AG21" s="179"/>
      <c r="AH21" s="223" t="e">
        <f t="shared" si="10"/>
        <v>#DIV/0!</v>
      </c>
      <c r="AI21" s="257" t="e">
        <f t="shared" si="11"/>
        <v>#DIV/0!</v>
      </c>
    </row>
    <row r="22" spans="1:35" x14ac:dyDescent="0.35">
      <c r="A22" s="246">
        <f>D.SISWA!A22</f>
        <v>17</v>
      </c>
      <c r="B22" s="214">
        <f>D.SISWA!B67</f>
        <v>232401018</v>
      </c>
      <c r="C22" s="214" t="str">
        <f>D.SISWA!C67</f>
        <v>SURYANA</v>
      </c>
      <c r="D22" s="242" t="str">
        <f>D.SISWA!D67</f>
        <v>XII ACP</v>
      </c>
      <c r="E22" s="246">
        <v>1</v>
      </c>
      <c r="F22" s="247" t="str">
        <f t="shared" si="0"/>
        <v>60</v>
      </c>
      <c r="G22" s="246"/>
      <c r="H22" s="217"/>
      <c r="I22" s="223" t="e">
        <f t="shared" si="1"/>
        <v>#DIV/0!</v>
      </c>
      <c r="J22" s="254">
        <v>79</v>
      </c>
      <c r="K22" s="179"/>
      <c r="L22" s="223">
        <f t="shared" si="2"/>
        <v>79</v>
      </c>
      <c r="M22" s="254"/>
      <c r="N22" s="268">
        <v>85</v>
      </c>
      <c r="O22" s="223">
        <f t="shared" si="3"/>
        <v>85</v>
      </c>
      <c r="P22" s="254"/>
      <c r="Q22" s="179"/>
      <c r="R22" s="223" t="e">
        <f t="shared" si="4"/>
        <v>#DIV/0!</v>
      </c>
      <c r="S22" s="262" t="e">
        <f t="shared" si="5"/>
        <v>#DIV/0!</v>
      </c>
      <c r="U22" s="246"/>
      <c r="V22" s="260" t="str">
        <f t="shared" si="6"/>
        <v>60</v>
      </c>
      <c r="W22" s="246">
        <v>79</v>
      </c>
      <c r="X22" s="217"/>
      <c r="Y22" s="223">
        <f t="shared" si="7"/>
        <v>79</v>
      </c>
      <c r="Z22" s="254">
        <v>60</v>
      </c>
      <c r="AA22" s="179"/>
      <c r="AB22" s="223">
        <f t="shared" si="8"/>
        <v>60</v>
      </c>
      <c r="AC22" s="254">
        <v>79</v>
      </c>
      <c r="AD22" s="179"/>
      <c r="AE22" s="223">
        <f t="shared" si="9"/>
        <v>79</v>
      </c>
      <c r="AF22" s="254"/>
      <c r="AG22" s="179"/>
      <c r="AH22" s="223" t="e">
        <f t="shared" si="10"/>
        <v>#DIV/0!</v>
      </c>
      <c r="AI22" s="257" t="e">
        <f t="shared" si="11"/>
        <v>#DIV/0!</v>
      </c>
    </row>
    <row r="23" spans="1:35" x14ac:dyDescent="0.35">
      <c r="A23" s="246">
        <f>D.SISWA!A23</f>
        <v>18</v>
      </c>
      <c r="B23" s="214">
        <f>D.SISWA!B68</f>
        <v>232401019</v>
      </c>
      <c r="C23" s="214" t="str">
        <f>D.SISWA!C68</f>
        <v>TIARA AMANDA PUTRI FATRIANA</v>
      </c>
      <c r="D23" s="242" t="str">
        <f>D.SISWA!D68</f>
        <v>XII ACP</v>
      </c>
      <c r="E23" s="246">
        <v>1</v>
      </c>
      <c r="F23" s="247" t="str">
        <f t="shared" si="0"/>
        <v>60</v>
      </c>
      <c r="G23" s="246"/>
      <c r="H23" s="217"/>
      <c r="I23" s="223" t="e">
        <f t="shared" si="1"/>
        <v>#DIV/0!</v>
      </c>
      <c r="J23" s="254">
        <v>88</v>
      </c>
      <c r="K23" s="179"/>
      <c r="L23" s="223">
        <f t="shared" si="2"/>
        <v>88</v>
      </c>
      <c r="M23" s="254"/>
      <c r="N23" s="268">
        <v>86</v>
      </c>
      <c r="O23" s="223">
        <f t="shared" si="3"/>
        <v>86</v>
      </c>
      <c r="P23" s="254"/>
      <c r="Q23" s="179"/>
      <c r="R23" s="223" t="e">
        <f t="shared" si="4"/>
        <v>#DIV/0!</v>
      </c>
      <c r="S23" s="262" t="e">
        <f t="shared" si="5"/>
        <v>#DIV/0!</v>
      </c>
      <c r="U23" s="246"/>
      <c r="V23" s="260" t="str">
        <f t="shared" si="6"/>
        <v>60</v>
      </c>
      <c r="W23" s="246">
        <v>79</v>
      </c>
      <c r="X23" s="217"/>
      <c r="Y23" s="223">
        <f t="shared" si="7"/>
        <v>79</v>
      </c>
      <c r="Z23" s="254">
        <v>84</v>
      </c>
      <c r="AA23" s="179"/>
      <c r="AB23" s="223">
        <f t="shared" si="8"/>
        <v>84</v>
      </c>
      <c r="AC23" s="254">
        <v>65</v>
      </c>
      <c r="AD23" s="179"/>
      <c r="AE23" s="223">
        <f t="shared" si="9"/>
        <v>65</v>
      </c>
      <c r="AF23" s="254"/>
      <c r="AG23" s="179"/>
      <c r="AH23" s="223" t="e">
        <f t="shared" si="10"/>
        <v>#DIV/0!</v>
      </c>
      <c r="AI23" s="257" t="e">
        <f t="shared" si="11"/>
        <v>#DIV/0!</v>
      </c>
    </row>
    <row r="24" spans="1:35" s="58" customFormat="1" x14ac:dyDescent="0.35">
      <c r="A24" s="248">
        <f>D.SISWA!A24</f>
        <v>19</v>
      </c>
      <c r="B24" s="240">
        <f>D.SISWA!B69</f>
        <v>232401020</v>
      </c>
      <c r="C24" s="240" t="str">
        <f>D.SISWA!C69</f>
        <v>WAHID DICKY NUGROHO</v>
      </c>
      <c r="D24" s="243" t="str">
        <f>D.SISWA!D69</f>
        <v>XII ACP</v>
      </c>
      <c r="E24" s="292">
        <v>1</v>
      </c>
      <c r="F24" s="293" t="str">
        <f t="shared" si="0"/>
        <v>60</v>
      </c>
      <c r="G24" s="292"/>
      <c r="H24" s="294"/>
      <c r="I24" s="295" t="e">
        <f t="shared" si="1"/>
        <v>#DIV/0!</v>
      </c>
      <c r="J24" s="296">
        <v>85</v>
      </c>
      <c r="K24" s="297"/>
      <c r="L24" s="295">
        <f t="shared" si="2"/>
        <v>85</v>
      </c>
      <c r="M24" s="296"/>
      <c r="N24" s="268">
        <v>86</v>
      </c>
      <c r="O24" s="295">
        <f t="shared" si="3"/>
        <v>86</v>
      </c>
      <c r="P24" s="296"/>
      <c r="Q24" s="297"/>
      <c r="R24" s="295" t="e">
        <f t="shared" si="4"/>
        <v>#DIV/0!</v>
      </c>
      <c r="S24" s="298" t="e">
        <f>(0.35*F24)+(0.25*I24)+(0.1*L24)+(0.15*O24)+(0.15*R24)</f>
        <v>#DIV/0!</v>
      </c>
      <c r="U24" s="248"/>
      <c r="V24" s="260" t="str">
        <f t="shared" si="6"/>
        <v>60</v>
      </c>
      <c r="W24" s="246">
        <v>79</v>
      </c>
      <c r="X24" s="221"/>
      <c r="Y24" s="251">
        <f t="shared" si="7"/>
        <v>79</v>
      </c>
      <c r="Z24" s="255">
        <v>87</v>
      </c>
      <c r="AA24" s="193"/>
      <c r="AB24" s="251">
        <f t="shared" si="8"/>
        <v>87</v>
      </c>
      <c r="AC24" s="255">
        <v>75</v>
      </c>
      <c r="AD24" s="193"/>
      <c r="AE24" s="251">
        <f t="shared" si="9"/>
        <v>75</v>
      </c>
      <c r="AF24" s="255"/>
      <c r="AG24" s="193"/>
      <c r="AH24" s="251" t="e">
        <f t="shared" si="10"/>
        <v>#DIV/0!</v>
      </c>
      <c r="AI24" s="257" t="e">
        <f t="shared" si="11"/>
        <v>#DIV/0!</v>
      </c>
    </row>
    <row r="25" spans="1:35" x14ac:dyDescent="0.35">
      <c r="A25" s="246">
        <f>D.SISWA!A25</f>
        <v>20</v>
      </c>
      <c r="B25" s="214">
        <f>D.SISWA!B70</f>
        <v>232401021</v>
      </c>
      <c r="C25" s="214" t="str">
        <f>D.SISWA!C70</f>
        <v>ABDUL HAKIM</v>
      </c>
      <c r="D25" s="242" t="str">
        <f>D.SISWA!D70</f>
        <v>XII RPL</v>
      </c>
      <c r="E25" s="299"/>
      <c r="F25" s="299"/>
      <c r="G25" s="299"/>
      <c r="H25" s="299"/>
      <c r="I25" s="53"/>
      <c r="J25" s="43"/>
      <c r="K25" s="43"/>
      <c r="L25" s="53"/>
      <c r="M25" s="43"/>
      <c r="N25" s="43"/>
      <c r="O25" s="53"/>
      <c r="P25" s="43"/>
      <c r="Q25" s="43"/>
      <c r="R25" s="53"/>
      <c r="S25" s="300"/>
      <c r="U25" s="246">
        <v>1</v>
      </c>
      <c r="V25" s="260" t="str">
        <f t="shared" si="6"/>
        <v>60</v>
      </c>
      <c r="W25" s="246"/>
      <c r="X25" s="217"/>
      <c r="Y25" s="251" t="e">
        <f t="shared" si="7"/>
        <v>#DIV/0!</v>
      </c>
      <c r="Z25" s="254"/>
      <c r="AA25" s="179"/>
      <c r="AB25" s="251" t="e">
        <f t="shared" si="8"/>
        <v>#DIV/0!</v>
      </c>
      <c r="AC25" s="254">
        <v>63</v>
      </c>
      <c r="AD25" s="179"/>
      <c r="AE25" s="251">
        <f t="shared" si="9"/>
        <v>63</v>
      </c>
      <c r="AF25" s="254"/>
      <c r="AG25" s="179"/>
      <c r="AH25" s="251" t="e">
        <f t="shared" si="10"/>
        <v>#DIV/0!</v>
      </c>
      <c r="AI25" s="257" t="e">
        <f>(0.4*V25)+(0.1*Y25)+(0.1*AB25)+(0.2*AE25)+(0.2*AH25)</f>
        <v>#DIV/0!</v>
      </c>
    </row>
    <row r="26" spans="1:35" x14ac:dyDescent="0.35">
      <c r="A26" s="246">
        <f>D.SISWA!A26</f>
        <v>21</v>
      </c>
      <c r="B26" s="214">
        <f>D.SISWA!B71</f>
        <v>232401022</v>
      </c>
      <c r="C26" s="214" t="str">
        <f>D.SISWA!C71</f>
        <v>ADITYA PUTRA NURAHMAN</v>
      </c>
      <c r="D26" s="242" t="str">
        <f>D.SISWA!D71</f>
        <v>XII RPL</v>
      </c>
      <c r="E26" s="299"/>
      <c r="F26" s="299"/>
      <c r="G26" s="299"/>
      <c r="H26" s="299"/>
      <c r="I26" s="53"/>
      <c r="J26" s="43"/>
      <c r="K26" s="43"/>
      <c r="L26" s="53"/>
      <c r="M26" s="43"/>
      <c r="N26" s="43"/>
      <c r="O26" s="53"/>
      <c r="P26" s="43"/>
      <c r="Q26" s="43"/>
      <c r="R26" s="53"/>
      <c r="S26" s="300"/>
      <c r="U26" s="246">
        <v>1</v>
      </c>
      <c r="V26" s="260" t="str">
        <f t="shared" si="6"/>
        <v>60</v>
      </c>
      <c r="W26" s="246"/>
      <c r="X26" s="217"/>
      <c r="Y26" s="251" t="e">
        <f t="shared" si="7"/>
        <v>#DIV/0!</v>
      </c>
      <c r="Z26" s="254"/>
      <c r="AA26" s="179"/>
      <c r="AB26" s="251" t="e">
        <f t="shared" si="8"/>
        <v>#DIV/0!</v>
      </c>
      <c r="AC26" s="254">
        <v>73</v>
      </c>
      <c r="AD26" s="179"/>
      <c r="AE26" s="251">
        <f t="shared" si="9"/>
        <v>73</v>
      </c>
      <c r="AF26" s="254"/>
      <c r="AG26" s="179"/>
      <c r="AH26" s="251" t="e">
        <f t="shared" si="10"/>
        <v>#DIV/0!</v>
      </c>
      <c r="AI26" s="257" t="e">
        <f t="shared" ref="AI26:AI53" si="12">(0.4*V26)+(0.1*Y26)+(0.1*AB26)+(0.2*AE26)+(0.2*AH26)</f>
        <v>#DIV/0!</v>
      </c>
    </row>
    <row r="27" spans="1:35" x14ac:dyDescent="0.35">
      <c r="A27" s="246">
        <f>D.SISWA!A27</f>
        <v>22</v>
      </c>
      <c r="B27" s="214">
        <f>D.SISWA!B72</f>
        <v>232401023</v>
      </c>
      <c r="C27" s="214" t="str">
        <f>D.SISWA!C72</f>
        <v>ADRIAN BAGUS RAMADANI</v>
      </c>
      <c r="D27" s="242" t="str">
        <f>D.SISWA!D72</f>
        <v>XII RPL</v>
      </c>
      <c r="E27" s="299"/>
      <c r="F27" s="299"/>
      <c r="G27" s="299"/>
      <c r="H27" s="299"/>
      <c r="I27" s="53"/>
      <c r="J27" s="43"/>
      <c r="K27" s="43"/>
      <c r="L27" s="53"/>
      <c r="M27" s="43"/>
      <c r="N27" s="43"/>
      <c r="O27" s="53"/>
      <c r="P27" s="43"/>
      <c r="Q27" s="43"/>
      <c r="R27" s="53"/>
      <c r="S27" s="300"/>
      <c r="U27" s="246">
        <v>1</v>
      </c>
      <c r="V27" s="260" t="str">
        <f t="shared" si="6"/>
        <v>60</v>
      </c>
      <c r="W27" s="246"/>
      <c r="X27" s="217"/>
      <c r="Y27" s="251" t="e">
        <f t="shared" si="7"/>
        <v>#DIV/0!</v>
      </c>
      <c r="Z27" s="254"/>
      <c r="AA27" s="179"/>
      <c r="AB27" s="251" t="e">
        <f t="shared" si="8"/>
        <v>#DIV/0!</v>
      </c>
      <c r="AC27" s="254">
        <v>20</v>
      </c>
      <c r="AD27" s="179"/>
      <c r="AE27" s="251">
        <f t="shared" si="9"/>
        <v>20</v>
      </c>
      <c r="AF27" s="254"/>
      <c r="AG27" s="179"/>
      <c r="AH27" s="251" t="e">
        <f t="shared" si="10"/>
        <v>#DIV/0!</v>
      </c>
      <c r="AI27" s="257" t="e">
        <f t="shared" si="12"/>
        <v>#DIV/0!</v>
      </c>
    </row>
    <row r="28" spans="1:35" x14ac:dyDescent="0.35">
      <c r="A28" s="246">
        <f>D.SISWA!A28</f>
        <v>23</v>
      </c>
      <c r="B28" s="214">
        <f>D.SISWA!B73</f>
        <v>232401024</v>
      </c>
      <c r="C28" s="214" t="str">
        <f>D.SISWA!C73</f>
        <v>AGIL AL PAUJI</v>
      </c>
      <c r="D28" s="242" t="str">
        <f>D.SISWA!D73</f>
        <v>XII RPL</v>
      </c>
      <c r="E28" s="299"/>
      <c r="F28" s="299"/>
      <c r="G28" s="299"/>
      <c r="H28" s="299"/>
      <c r="I28" s="53"/>
      <c r="J28" s="43"/>
      <c r="K28" s="43"/>
      <c r="L28" s="53"/>
      <c r="M28" s="43"/>
      <c r="N28" s="43"/>
      <c r="O28" s="53"/>
      <c r="P28" s="43"/>
      <c r="Q28" s="43"/>
      <c r="R28" s="53"/>
      <c r="S28" s="300"/>
      <c r="U28" s="246">
        <v>1</v>
      </c>
      <c r="V28" s="260" t="str">
        <f t="shared" si="6"/>
        <v>60</v>
      </c>
      <c r="W28" s="246"/>
      <c r="X28" s="217"/>
      <c r="Y28" s="251" t="e">
        <f t="shared" si="7"/>
        <v>#DIV/0!</v>
      </c>
      <c r="Z28" s="254"/>
      <c r="AA28" s="179"/>
      <c r="AB28" s="251" t="e">
        <f t="shared" si="8"/>
        <v>#DIV/0!</v>
      </c>
      <c r="AC28" s="254">
        <v>69</v>
      </c>
      <c r="AD28" s="179"/>
      <c r="AE28" s="251">
        <f t="shared" si="9"/>
        <v>69</v>
      </c>
      <c r="AF28" s="254"/>
      <c r="AG28" s="179"/>
      <c r="AH28" s="251" t="e">
        <f t="shared" si="10"/>
        <v>#DIV/0!</v>
      </c>
      <c r="AI28" s="257" t="e">
        <f t="shared" si="12"/>
        <v>#DIV/0!</v>
      </c>
    </row>
    <row r="29" spans="1:35" x14ac:dyDescent="0.35">
      <c r="A29" s="246">
        <f>D.SISWA!A29</f>
        <v>24</v>
      </c>
      <c r="B29" s="214">
        <f>D.SISWA!B74</f>
        <v>232401025</v>
      </c>
      <c r="C29" s="214" t="str">
        <f>D.SISWA!C74</f>
        <v>AGUNAWAN</v>
      </c>
      <c r="D29" s="242" t="str">
        <f>D.SISWA!D74</f>
        <v>XII RPL</v>
      </c>
      <c r="E29" s="299"/>
      <c r="F29" s="299"/>
      <c r="G29" s="299"/>
      <c r="H29" s="299"/>
      <c r="I29" s="53"/>
      <c r="J29" s="43"/>
      <c r="K29" s="43"/>
      <c r="L29" s="53"/>
      <c r="M29" s="43"/>
      <c r="N29" s="43"/>
      <c r="O29" s="53"/>
      <c r="P29" s="43"/>
      <c r="Q29" s="43"/>
      <c r="R29" s="53"/>
      <c r="S29" s="300"/>
      <c r="U29" s="246">
        <v>0</v>
      </c>
      <c r="V29" s="260" t="str">
        <f t="shared" si="6"/>
        <v>60</v>
      </c>
      <c r="W29" s="246"/>
      <c r="X29" s="217"/>
      <c r="Y29" s="251" t="e">
        <f t="shared" si="7"/>
        <v>#DIV/0!</v>
      </c>
      <c r="Z29" s="254"/>
      <c r="AA29" s="179"/>
      <c r="AB29" s="251" t="e">
        <f t="shared" si="8"/>
        <v>#DIV/0!</v>
      </c>
      <c r="AC29" s="254">
        <v>47</v>
      </c>
      <c r="AD29" s="179"/>
      <c r="AE29" s="251">
        <f t="shared" si="9"/>
        <v>47</v>
      </c>
      <c r="AF29" s="254"/>
      <c r="AG29" s="179"/>
      <c r="AH29" s="251" t="e">
        <f t="shared" si="10"/>
        <v>#DIV/0!</v>
      </c>
      <c r="AI29" s="257" t="e">
        <f t="shared" si="12"/>
        <v>#DIV/0!</v>
      </c>
    </row>
    <row r="30" spans="1:35" x14ac:dyDescent="0.35">
      <c r="A30" s="246">
        <f>D.SISWA!A30</f>
        <v>25</v>
      </c>
      <c r="B30" s="214">
        <f>D.SISWA!B75</f>
        <v>232401026</v>
      </c>
      <c r="C30" s="214" t="str">
        <f>D.SISWA!C75</f>
        <v>ALI AKBAR NUR SUBHKI</v>
      </c>
      <c r="D30" s="242" t="str">
        <f>D.SISWA!D75</f>
        <v>XII RPL</v>
      </c>
      <c r="E30" s="299"/>
      <c r="F30" s="299"/>
      <c r="G30" s="299"/>
      <c r="H30" s="299"/>
      <c r="I30" s="53"/>
      <c r="J30" s="43"/>
      <c r="K30" s="43"/>
      <c r="L30" s="53"/>
      <c r="M30" s="43"/>
      <c r="N30" s="43"/>
      <c r="O30" s="53"/>
      <c r="P30" s="43"/>
      <c r="Q30" s="43"/>
      <c r="R30" s="53"/>
      <c r="S30" s="300"/>
      <c r="U30" s="246">
        <v>0</v>
      </c>
      <c r="V30" s="260" t="str">
        <f t="shared" si="6"/>
        <v>60</v>
      </c>
      <c r="W30" s="246"/>
      <c r="X30" s="217"/>
      <c r="Y30" s="251" t="e">
        <f t="shared" si="7"/>
        <v>#DIV/0!</v>
      </c>
      <c r="Z30" s="254"/>
      <c r="AA30" s="179"/>
      <c r="AB30" s="251" t="e">
        <f t="shared" si="8"/>
        <v>#DIV/0!</v>
      </c>
      <c r="AC30" s="254">
        <v>71</v>
      </c>
      <c r="AD30" s="179"/>
      <c r="AE30" s="251">
        <f t="shared" si="9"/>
        <v>71</v>
      </c>
      <c r="AF30" s="254"/>
      <c r="AG30" s="179"/>
      <c r="AH30" s="251" t="e">
        <f t="shared" si="10"/>
        <v>#DIV/0!</v>
      </c>
      <c r="AI30" s="257" t="e">
        <f t="shared" si="12"/>
        <v>#DIV/0!</v>
      </c>
    </row>
    <row r="31" spans="1:35" x14ac:dyDescent="0.35">
      <c r="A31" s="246">
        <f>D.SISWA!A31</f>
        <v>26</v>
      </c>
      <c r="B31" s="214">
        <f>D.SISWA!B76</f>
        <v>232401027</v>
      </c>
      <c r="C31" s="214" t="str">
        <f>D.SISWA!C76</f>
        <v>ALMA DEFAULIA MAHARANI</v>
      </c>
      <c r="D31" s="242" t="str">
        <f>D.SISWA!D76</f>
        <v>XII RPL</v>
      </c>
      <c r="E31" s="299"/>
      <c r="F31" s="299"/>
      <c r="G31" s="299"/>
      <c r="H31" s="299"/>
      <c r="I31" s="53"/>
      <c r="J31" s="43"/>
      <c r="K31" s="43"/>
      <c r="L31" s="53"/>
      <c r="M31" s="43"/>
      <c r="N31" s="43"/>
      <c r="O31" s="53"/>
      <c r="P31" s="43"/>
      <c r="Q31" s="43"/>
      <c r="R31" s="53"/>
      <c r="S31" s="300"/>
      <c r="U31" s="246">
        <v>1</v>
      </c>
      <c r="V31" s="260" t="str">
        <f t="shared" si="6"/>
        <v>60</v>
      </c>
      <c r="W31" s="246"/>
      <c r="X31" s="217"/>
      <c r="Y31" s="251" t="e">
        <f t="shared" si="7"/>
        <v>#DIV/0!</v>
      </c>
      <c r="Z31" s="254"/>
      <c r="AA31" s="179"/>
      <c r="AB31" s="251" t="e">
        <f t="shared" si="8"/>
        <v>#DIV/0!</v>
      </c>
      <c r="AC31" s="254">
        <v>69</v>
      </c>
      <c r="AD31" s="179"/>
      <c r="AE31" s="251">
        <f t="shared" si="9"/>
        <v>69</v>
      </c>
      <c r="AF31" s="254"/>
      <c r="AG31" s="179"/>
      <c r="AH31" s="251" t="e">
        <f t="shared" si="10"/>
        <v>#DIV/0!</v>
      </c>
      <c r="AI31" s="257" t="e">
        <f t="shared" si="12"/>
        <v>#DIV/0!</v>
      </c>
    </row>
    <row r="32" spans="1:35" x14ac:dyDescent="0.35">
      <c r="A32" s="246">
        <f>D.SISWA!A32</f>
        <v>27</v>
      </c>
      <c r="B32" s="214">
        <f>D.SISWA!B77</f>
        <v>232401028</v>
      </c>
      <c r="C32" s="214" t="str">
        <f>D.SISWA!C77</f>
        <v>ARABI RUDINATA</v>
      </c>
      <c r="D32" s="242" t="str">
        <f>D.SISWA!D77</f>
        <v>XII RPL</v>
      </c>
      <c r="E32" s="299"/>
      <c r="F32" s="299"/>
      <c r="G32" s="299"/>
      <c r="H32" s="299"/>
      <c r="I32" s="53"/>
      <c r="J32" s="43"/>
      <c r="K32" s="43"/>
      <c r="L32" s="53"/>
      <c r="M32" s="43"/>
      <c r="N32" s="43"/>
      <c r="O32" s="53"/>
      <c r="P32" s="43"/>
      <c r="Q32" s="43"/>
      <c r="R32" s="53"/>
      <c r="S32" s="300"/>
      <c r="U32" s="246">
        <v>1</v>
      </c>
      <c r="V32" s="260" t="str">
        <f t="shared" si="6"/>
        <v>60</v>
      </c>
      <c r="W32" s="246"/>
      <c r="X32" s="217"/>
      <c r="Y32" s="251" t="e">
        <f t="shared" si="7"/>
        <v>#DIV/0!</v>
      </c>
      <c r="Z32" s="254"/>
      <c r="AA32" s="179"/>
      <c r="AB32" s="251" t="e">
        <f t="shared" si="8"/>
        <v>#DIV/0!</v>
      </c>
      <c r="AC32" s="254">
        <v>65</v>
      </c>
      <c r="AD32" s="179"/>
      <c r="AE32" s="251">
        <f t="shared" si="9"/>
        <v>65</v>
      </c>
      <c r="AF32" s="254"/>
      <c r="AG32" s="179"/>
      <c r="AH32" s="251" t="e">
        <f t="shared" si="10"/>
        <v>#DIV/0!</v>
      </c>
      <c r="AI32" s="257" t="e">
        <f t="shared" si="12"/>
        <v>#DIV/0!</v>
      </c>
    </row>
    <row r="33" spans="1:35" x14ac:dyDescent="0.35">
      <c r="A33" s="246">
        <f>D.SISWA!A33</f>
        <v>28</v>
      </c>
      <c r="B33" s="214">
        <f>D.SISWA!B78</f>
        <v>232401029</v>
      </c>
      <c r="C33" s="214" t="str">
        <f>D.SISWA!C78</f>
        <v>ARDIANSYAH</v>
      </c>
      <c r="D33" s="242" t="str">
        <f>D.SISWA!D78</f>
        <v>XII RPL</v>
      </c>
      <c r="E33" s="299"/>
      <c r="F33" s="299"/>
      <c r="G33" s="299"/>
      <c r="H33" s="299"/>
      <c r="I33" s="53"/>
      <c r="J33" s="43"/>
      <c r="K33" s="43"/>
      <c r="L33" s="53"/>
      <c r="M33" s="43"/>
      <c r="N33" s="43"/>
      <c r="O33" s="53"/>
      <c r="P33" s="43"/>
      <c r="Q33" s="43"/>
      <c r="R33" s="53"/>
      <c r="S33" s="300"/>
      <c r="U33" s="246">
        <v>1</v>
      </c>
      <c r="V33" s="260" t="str">
        <f t="shared" si="6"/>
        <v>60</v>
      </c>
      <c r="W33" s="246"/>
      <c r="X33" s="217"/>
      <c r="Y33" s="251" t="e">
        <f t="shared" si="7"/>
        <v>#DIV/0!</v>
      </c>
      <c r="Z33" s="254"/>
      <c r="AA33" s="179"/>
      <c r="AB33" s="251" t="e">
        <f t="shared" si="8"/>
        <v>#DIV/0!</v>
      </c>
      <c r="AC33" s="254">
        <v>59</v>
      </c>
      <c r="AD33" s="179"/>
      <c r="AE33" s="251">
        <f t="shared" si="9"/>
        <v>59</v>
      </c>
      <c r="AF33" s="254"/>
      <c r="AG33" s="179"/>
      <c r="AH33" s="251" t="e">
        <f t="shared" si="10"/>
        <v>#DIV/0!</v>
      </c>
      <c r="AI33" s="257" t="e">
        <f t="shared" si="12"/>
        <v>#DIV/0!</v>
      </c>
    </row>
    <row r="34" spans="1:35" x14ac:dyDescent="0.35">
      <c r="A34" s="246">
        <f>D.SISWA!A34</f>
        <v>29</v>
      </c>
      <c r="B34" s="214">
        <f>D.SISWA!B79</f>
        <v>232401030</v>
      </c>
      <c r="C34" s="214" t="str">
        <f>D.SISWA!C79</f>
        <v>ASTRI LIANTI</v>
      </c>
      <c r="D34" s="242" t="str">
        <f>D.SISWA!D79</f>
        <v>XII RPL</v>
      </c>
      <c r="E34" s="299"/>
      <c r="F34" s="299"/>
      <c r="G34" s="299"/>
      <c r="H34" s="299"/>
      <c r="I34" s="53"/>
      <c r="J34" s="43"/>
      <c r="K34" s="43"/>
      <c r="L34" s="53"/>
      <c r="M34" s="43"/>
      <c r="N34" s="43"/>
      <c r="O34" s="53"/>
      <c r="P34" s="43"/>
      <c r="Q34" s="43"/>
      <c r="R34" s="53"/>
      <c r="S34" s="300"/>
      <c r="U34" s="246">
        <v>1</v>
      </c>
      <c r="V34" s="260" t="str">
        <f t="shared" si="6"/>
        <v>60</v>
      </c>
      <c r="W34" s="246"/>
      <c r="X34" s="217"/>
      <c r="Y34" s="251" t="e">
        <f t="shared" si="7"/>
        <v>#DIV/0!</v>
      </c>
      <c r="Z34" s="254"/>
      <c r="AA34" s="179"/>
      <c r="AB34" s="251" t="e">
        <f t="shared" si="8"/>
        <v>#DIV/0!</v>
      </c>
      <c r="AC34" s="254">
        <v>67</v>
      </c>
      <c r="AD34" s="179"/>
      <c r="AE34" s="251">
        <f t="shared" si="9"/>
        <v>67</v>
      </c>
      <c r="AF34" s="254"/>
      <c r="AG34" s="179"/>
      <c r="AH34" s="251" t="e">
        <f t="shared" si="10"/>
        <v>#DIV/0!</v>
      </c>
      <c r="AI34" s="257" t="e">
        <f t="shared" si="12"/>
        <v>#DIV/0!</v>
      </c>
    </row>
    <row r="35" spans="1:35" x14ac:dyDescent="0.35">
      <c r="A35" s="246">
        <f>D.SISWA!A35</f>
        <v>30</v>
      </c>
      <c r="B35" s="214">
        <f>D.SISWA!B80</f>
        <v>232401031</v>
      </c>
      <c r="C35" s="214" t="str">
        <f>D.SISWA!C80</f>
        <v>AURA PUTRI RAMADANI</v>
      </c>
      <c r="D35" s="242" t="str">
        <f>D.SISWA!D80</f>
        <v>XII RPL</v>
      </c>
      <c r="E35" s="299"/>
      <c r="F35" s="299"/>
      <c r="G35" s="299"/>
      <c r="H35" s="299"/>
      <c r="I35" s="53"/>
      <c r="J35" s="43"/>
      <c r="K35" s="43"/>
      <c r="L35" s="53"/>
      <c r="M35" s="43"/>
      <c r="N35" s="43"/>
      <c r="O35" s="53"/>
      <c r="P35" s="43"/>
      <c r="Q35" s="43"/>
      <c r="R35" s="53"/>
      <c r="S35" s="300"/>
      <c r="U35" s="246">
        <v>1</v>
      </c>
      <c r="V35" s="260" t="str">
        <f t="shared" si="6"/>
        <v>60</v>
      </c>
      <c r="W35" s="246"/>
      <c r="X35" s="217"/>
      <c r="Y35" s="251" t="e">
        <f t="shared" si="7"/>
        <v>#DIV/0!</v>
      </c>
      <c r="Z35" s="254"/>
      <c r="AA35" s="179"/>
      <c r="AB35" s="251" t="e">
        <f t="shared" si="8"/>
        <v>#DIV/0!</v>
      </c>
      <c r="AC35" s="254">
        <v>51</v>
      </c>
      <c r="AD35" s="179"/>
      <c r="AE35" s="251">
        <f t="shared" si="9"/>
        <v>51</v>
      </c>
      <c r="AF35" s="254"/>
      <c r="AG35" s="179"/>
      <c r="AH35" s="251" t="e">
        <f t="shared" si="10"/>
        <v>#DIV/0!</v>
      </c>
      <c r="AI35" s="257" t="e">
        <f t="shared" si="12"/>
        <v>#DIV/0!</v>
      </c>
    </row>
    <row r="36" spans="1:35" x14ac:dyDescent="0.35">
      <c r="A36" s="246">
        <f>D.SISWA!A36</f>
        <v>31</v>
      </c>
      <c r="B36" s="214">
        <f>D.SISWA!B81</f>
        <v>232401032</v>
      </c>
      <c r="C36" s="214" t="str">
        <f>D.SISWA!C81</f>
        <v>ERLANGGA WIRADINATA</v>
      </c>
      <c r="D36" s="242" t="str">
        <f>D.SISWA!D81</f>
        <v>XII RPL</v>
      </c>
      <c r="E36" s="299"/>
      <c r="F36" s="299"/>
      <c r="G36" s="299"/>
      <c r="H36" s="299"/>
      <c r="I36" s="53"/>
      <c r="J36" s="43"/>
      <c r="K36" s="43"/>
      <c r="L36" s="53"/>
      <c r="M36" s="43"/>
      <c r="N36" s="43"/>
      <c r="O36" s="53"/>
      <c r="P36" s="43"/>
      <c r="Q36" s="43"/>
      <c r="R36" s="53"/>
      <c r="S36" s="300"/>
      <c r="U36" s="246">
        <v>1</v>
      </c>
      <c r="V36" s="260" t="str">
        <f t="shared" si="6"/>
        <v>60</v>
      </c>
      <c r="W36" s="246"/>
      <c r="X36" s="217"/>
      <c r="Y36" s="251" t="e">
        <f t="shared" si="7"/>
        <v>#DIV/0!</v>
      </c>
      <c r="Z36" s="254"/>
      <c r="AA36" s="179"/>
      <c r="AB36" s="251" t="e">
        <f t="shared" si="8"/>
        <v>#DIV/0!</v>
      </c>
      <c r="AC36" s="254">
        <v>73</v>
      </c>
      <c r="AD36" s="179"/>
      <c r="AE36" s="251">
        <f t="shared" si="9"/>
        <v>73</v>
      </c>
      <c r="AF36" s="254"/>
      <c r="AG36" s="179"/>
      <c r="AH36" s="251" t="e">
        <f t="shared" si="10"/>
        <v>#DIV/0!</v>
      </c>
      <c r="AI36" s="257" t="e">
        <f t="shared" si="12"/>
        <v>#DIV/0!</v>
      </c>
    </row>
    <row r="37" spans="1:35" x14ac:dyDescent="0.35">
      <c r="A37" s="246">
        <f>D.SISWA!A37</f>
        <v>32</v>
      </c>
      <c r="B37" s="214">
        <f>D.SISWA!B82</f>
        <v>232401033</v>
      </c>
      <c r="C37" s="214" t="str">
        <f>D.SISWA!C82</f>
        <v>IKHSAN ALFANDI PRATAMA</v>
      </c>
      <c r="D37" s="242" t="str">
        <f>D.SISWA!D82</f>
        <v>XII RPL</v>
      </c>
      <c r="E37" s="299"/>
      <c r="F37" s="299"/>
      <c r="G37" s="299"/>
      <c r="H37" s="299"/>
      <c r="I37" s="53"/>
      <c r="J37" s="43"/>
      <c r="K37" s="43"/>
      <c r="L37" s="53"/>
      <c r="M37" s="43"/>
      <c r="N37" s="43"/>
      <c r="O37" s="53"/>
      <c r="P37" s="43"/>
      <c r="Q37" s="43"/>
      <c r="R37" s="53"/>
      <c r="S37" s="300"/>
      <c r="U37" s="246">
        <v>1</v>
      </c>
      <c r="V37" s="260" t="str">
        <f t="shared" si="6"/>
        <v>60</v>
      </c>
      <c r="W37" s="246"/>
      <c r="X37" s="217"/>
      <c r="Y37" s="251" t="e">
        <f t="shared" si="7"/>
        <v>#DIV/0!</v>
      </c>
      <c r="Z37" s="254"/>
      <c r="AA37" s="179"/>
      <c r="AB37" s="251" t="e">
        <f t="shared" si="8"/>
        <v>#DIV/0!</v>
      </c>
      <c r="AC37" s="254">
        <v>65</v>
      </c>
      <c r="AD37" s="179"/>
      <c r="AE37" s="251">
        <f t="shared" si="9"/>
        <v>65</v>
      </c>
      <c r="AF37" s="254"/>
      <c r="AG37" s="179"/>
      <c r="AH37" s="251" t="e">
        <f t="shared" si="10"/>
        <v>#DIV/0!</v>
      </c>
      <c r="AI37" s="257" t="e">
        <f t="shared" si="12"/>
        <v>#DIV/0!</v>
      </c>
    </row>
    <row r="38" spans="1:35" x14ac:dyDescent="0.35">
      <c r="A38" s="246">
        <f>D.SISWA!A38</f>
        <v>33</v>
      </c>
      <c r="B38" s="214">
        <f>D.SISWA!B83</f>
        <v>232401035</v>
      </c>
      <c r="C38" s="214" t="str">
        <f>D.SISWA!C83</f>
        <v>KIREINA NAZRILA IRAWAN</v>
      </c>
      <c r="D38" s="242" t="str">
        <f>D.SISWA!D83</f>
        <v>XII RPL</v>
      </c>
      <c r="E38" s="299"/>
      <c r="F38" s="299"/>
      <c r="G38" s="299"/>
      <c r="H38" s="299"/>
      <c r="I38" s="53"/>
      <c r="J38" s="43"/>
      <c r="K38" s="43"/>
      <c r="L38" s="53"/>
      <c r="M38" s="43"/>
      <c r="N38" s="43"/>
      <c r="O38" s="53"/>
      <c r="P38" s="43"/>
      <c r="Q38" s="43"/>
      <c r="R38" s="53"/>
      <c r="S38" s="300"/>
      <c r="U38" s="246">
        <v>1</v>
      </c>
      <c r="V38" s="260" t="str">
        <f t="shared" si="6"/>
        <v>60</v>
      </c>
      <c r="W38" s="246"/>
      <c r="X38" s="217"/>
      <c r="Y38" s="251" t="e">
        <f t="shared" si="7"/>
        <v>#DIV/0!</v>
      </c>
      <c r="Z38" s="254"/>
      <c r="AA38" s="179"/>
      <c r="AB38" s="251" t="e">
        <f t="shared" si="8"/>
        <v>#DIV/0!</v>
      </c>
      <c r="AC38" s="254">
        <v>65</v>
      </c>
      <c r="AD38" s="179"/>
      <c r="AE38" s="251">
        <f t="shared" si="9"/>
        <v>65</v>
      </c>
      <c r="AF38" s="254"/>
      <c r="AG38" s="179"/>
      <c r="AH38" s="251" t="e">
        <f t="shared" si="10"/>
        <v>#DIV/0!</v>
      </c>
      <c r="AI38" s="257" t="e">
        <f t="shared" si="12"/>
        <v>#DIV/0!</v>
      </c>
    </row>
    <row r="39" spans="1:35" x14ac:dyDescent="0.35">
      <c r="A39" s="246">
        <f>D.SISWA!A39</f>
        <v>34</v>
      </c>
      <c r="B39" s="214">
        <f>D.SISWA!B84</f>
        <v>232401036</v>
      </c>
      <c r="C39" s="214" t="str">
        <f>D.SISWA!C84</f>
        <v>MOCH. VIRAS ALGAZALI</v>
      </c>
      <c r="D39" s="242" t="str">
        <f>D.SISWA!D84</f>
        <v>XII RPL</v>
      </c>
      <c r="E39" s="299"/>
      <c r="F39" s="299"/>
      <c r="G39" s="299"/>
      <c r="H39" s="299"/>
      <c r="I39" s="53"/>
      <c r="J39" s="43"/>
      <c r="K39" s="43"/>
      <c r="L39" s="53"/>
      <c r="M39" s="43"/>
      <c r="N39" s="43"/>
      <c r="O39" s="53"/>
      <c r="P39" s="43"/>
      <c r="Q39" s="43"/>
      <c r="R39" s="53"/>
      <c r="S39" s="300"/>
      <c r="U39" s="246">
        <v>1</v>
      </c>
      <c r="V39" s="260" t="str">
        <f t="shared" si="6"/>
        <v>60</v>
      </c>
      <c r="W39" s="246"/>
      <c r="X39" s="217"/>
      <c r="Y39" s="251" t="e">
        <f t="shared" si="7"/>
        <v>#DIV/0!</v>
      </c>
      <c r="Z39" s="254"/>
      <c r="AA39" s="179"/>
      <c r="AB39" s="251" t="e">
        <f t="shared" si="8"/>
        <v>#DIV/0!</v>
      </c>
      <c r="AC39" s="254">
        <v>69</v>
      </c>
      <c r="AD39" s="179"/>
      <c r="AE39" s="251">
        <f t="shared" si="9"/>
        <v>69</v>
      </c>
      <c r="AF39" s="254"/>
      <c r="AG39" s="179"/>
      <c r="AH39" s="251" t="e">
        <f t="shared" si="10"/>
        <v>#DIV/0!</v>
      </c>
      <c r="AI39" s="257" t="e">
        <f t="shared" si="12"/>
        <v>#DIV/0!</v>
      </c>
    </row>
    <row r="40" spans="1:35" x14ac:dyDescent="0.35">
      <c r="A40" s="246">
        <f>D.SISWA!A40</f>
        <v>35</v>
      </c>
      <c r="B40" s="214">
        <f>D.SISWA!B85</f>
        <v>232401039</v>
      </c>
      <c r="C40" s="214" t="str">
        <f>D.SISWA!C85</f>
        <v>MUHAMAD RIZKI ANDIKA</v>
      </c>
      <c r="D40" s="242" t="str">
        <f>D.SISWA!D85</f>
        <v>XII RPL</v>
      </c>
      <c r="E40" s="299"/>
      <c r="F40" s="299"/>
      <c r="G40" s="299"/>
      <c r="H40" s="299"/>
      <c r="I40" s="53"/>
      <c r="J40" s="43"/>
      <c r="K40" s="43"/>
      <c r="L40" s="53"/>
      <c r="M40" s="43"/>
      <c r="N40" s="43"/>
      <c r="O40" s="53"/>
      <c r="P40" s="43"/>
      <c r="Q40" s="43"/>
      <c r="R40" s="53"/>
      <c r="S40" s="300"/>
      <c r="U40" s="246">
        <v>1</v>
      </c>
      <c r="V40" s="260" t="str">
        <f t="shared" si="6"/>
        <v>60</v>
      </c>
      <c r="W40" s="246"/>
      <c r="X40" s="217"/>
      <c r="Y40" s="251" t="e">
        <f t="shared" si="7"/>
        <v>#DIV/0!</v>
      </c>
      <c r="Z40" s="254"/>
      <c r="AA40" s="179"/>
      <c r="AB40" s="251" t="e">
        <f t="shared" si="8"/>
        <v>#DIV/0!</v>
      </c>
      <c r="AC40" s="254">
        <v>20</v>
      </c>
      <c r="AD40" s="179"/>
      <c r="AE40" s="251">
        <f t="shared" si="9"/>
        <v>20</v>
      </c>
      <c r="AF40" s="254"/>
      <c r="AG40" s="179"/>
      <c r="AH40" s="251" t="e">
        <f t="shared" si="10"/>
        <v>#DIV/0!</v>
      </c>
      <c r="AI40" s="257" t="e">
        <f t="shared" si="12"/>
        <v>#DIV/0!</v>
      </c>
    </row>
    <row r="41" spans="1:35" x14ac:dyDescent="0.35">
      <c r="A41" s="246">
        <f>D.SISWA!A41</f>
        <v>36</v>
      </c>
      <c r="B41" s="214">
        <f>D.SISWA!B86</f>
        <v>232401040</v>
      </c>
      <c r="C41" s="214" t="str">
        <f>D.SISWA!C86</f>
        <v>MUHAMAD SIDIK</v>
      </c>
      <c r="D41" s="242" t="str">
        <f>D.SISWA!D86</f>
        <v>XII RPL</v>
      </c>
      <c r="E41" s="299"/>
      <c r="F41" s="299"/>
      <c r="G41" s="299"/>
      <c r="H41" s="299"/>
      <c r="I41" s="53"/>
      <c r="J41" s="43"/>
      <c r="K41" s="43"/>
      <c r="L41" s="53"/>
      <c r="M41" s="43"/>
      <c r="N41" s="43"/>
      <c r="O41" s="53"/>
      <c r="P41" s="43"/>
      <c r="Q41" s="43"/>
      <c r="R41" s="53"/>
      <c r="S41" s="300"/>
      <c r="U41" s="246">
        <v>1</v>
      </c>
      <c r="V41" s="260" t="str">
        <f t="shared" si="6"/>
        <v>60</v>
      </c>
      <c r="W41" s="246"/>
      <c r="X41" s="217"/>
      <c r="Y41" s="251" t="e">
        <f t="shared" si="7"/>
        <v>#DIV/0!</v>
      </c>
      <c r="Z41" s="254"/>
      <c r="AA41" s="179"/>
      <c r="AB41" s="251" t="e">
        <f t="shared" si="8"/>
        <v>#DIV/0!</v>
      </c>
      <c r="AC41" s="254">
        <v>73</v>
      </c>
      <c r="AD41" s="179"/>
      <c r="AE41" s="251">
        <f t="shared" si="9"/>
        <v>73</v>
      </c>
      <c r="AF41" s="254"/>
      <c r="AG41" s="179"/>
      <c r="AH41" s="251" t="e">
        <f t="shared" si="10"/>
        <v>#DIV/0!</v>
      </c>
      <c r="AI41" s="257" t="e">
        <f t="shared" si="12"/>
        <v>#DIV/0!</v>
      </c>
    </row>
    <row r="42" spans="1:35" x14ac:dyDescent="0.35">
      <c r="A42" s="246">
        <f>D.SISWA!A42</f>
        <v>37</v>
      </c>
      <c r="B42" s="214">
        <f>D.SISWA!B87</f>
        <v>232401042</v>
      </c>
      <c r="C42" s="214" t="str">
        <f>D.SISWA!C87</f>
        <v>NAILA NAZWA LATIFA</v>
      </c>
      <c r="D42" s="242" t="str">
        <f>D.SISWA!D87</f>
        <v>XII RPL</v>
      </c>
      <c r="E42" s="299"/>
      <c r="F42" s="299"/>
      <c r="G42" s="299"/>
      <c r="H42" s="299"/>
      <c r="I42" s="53"/>
      <c r="J42" s="43"/>
      <c r="K42" s="43"/>
      <c r="L42" s="53"/>
      <c r="M42" s="43"/>
      <c r="N42" s="43"/>
      <c r="O42" s="53"/>
      <c r="P42" s="43"/>
      <c r="Q42" s="43"/>
      <c r="R42" s="53"/>
      <c r="S42" s="300"/>
      <c r="U42" s="246">
        <v>0</v>
      </c>
      <c r="V42" s="260" t="str">
        <f t="shared" si="6"/>
        <v>60</v>
      </c>
      <c r="W42" s="246"/>
      <c r="X42" s="217"/>
      <c r="Y42" s="251" t="e">
        <f t="shared" si="7"/>
        <v>#DIV/0!</v>
      </c>
      <c r="Z42" s="254"/>
      <c r="AA42" s="179"/>
      <c r="AB42" s="251" t="e">
        <f t="shared" si="8"/>
        <v>#DIV/0!</v>
      </c>
      <c r="AC42" s="254">
        <v>57</v>
      </c>
      <c r="AD42" s="179"/>
      <c r="AE42" s="251">
        <f t="shared" si="9"/>
        <v>57</v>
      </c>
      <c r="AF42" s="254"/>
      <c r="AG42" s="179"/>
      <c r="AH42" s="251" t="e">
        <f t="shared" si="10"/>
        <v>#DIV/0!</v>
      </c>
      <c r="AI42" s="257" t="e">
        <f t="shared" si="12"/>
        <v>#DIV/0!</v>
      </c>
    </row>
    <row r="43" spans="1:35" x14ac:dyDescent="0.35">
      <c r="A43" s="246">
        <f>D.SISWA!A43</f>
        <v>38</v>
      </c>
      <c r="B43" s="214">
        <f>D.SISWA!B88</f>
        <v>232401043</v>
      </c>
      <c r="C43" s="214" t="str">
        <f>D.SISWA!C88</f>
        <v>NYAI INDAH LESTARI</v>
      </c>
      <c r="D43" s="242" t="str">
        <f>D.SISWA!D88</f>
        <v>XII RPL</v>
      </c>
      <c r="E43" s="299"/>
      <c r="F43" s="299"/>
      <c r="G43" s="299"/>
      <c r="H43" s="299"/>
      <c r="I43" s="53"/>
      <c r="J43" s="43"/>
      <c r="K43" s="43"/>
      <c r="L43" s="53"/>
      <c r="M43" s="43"/>
      <c r="N43" s="43"/>
      <c r="O43" s="53"/>
      <c r="P43" s="43"/>
      <c r="Q43" s="43"/>
      <c r="R43" s="53"/>
      <c r="S43" s="300"/>
      <c r="U43" s="246">
        <v>1</v>
      </c>
      <c r="V43" s="260" t="str">
        <f t="shared" si="6"/>
        <v>60</v>
      </c>
      <c r="W43" s="246"/>
      <c r="X43" s="217"/>
      <c r="Y43" s="251" t="e">
        <f t="shared" si="7"/>
        <v>#DIV/0!</v>
      </c>
      <c r="Z43" s="254"/>
      <c r="AA43" s="179"/>
      <c r="AB43" s="251" t="e">
        <f t="shared" si="8"/>
        <v>#DIV/0!</v>
      </c>
      <c r="AC43" s="254">
        <v>67</v>
      </c>
      <c r="AD43" s="179"/>
      <c r="AE43" s="251">
        <f t="shared" si="9"/>
        <v>67</v>
      </c>
      <c r="AF43" s="254"/>
      <c r="AG43" s="179"/>
      <c r="AH43" s="251" t="e">
        <f t="shared" si="10"/>
        <v>#DIV/0!</v>
      </c>
      <c r="AI43" s="257" t="e">
        <f t="shared" si="12"/>
        <v>#DIV/0!</v>
      </c>
    </row>
    <row r="44" spans="1:35" x14ac:dyDescent="0.35">
      <c r="A44" s="246">
        <f>D.SISWA!A44</f>
        <v>39</v>
      </c>
      <c r="B44" s="214">
        <f>D.SISWA!B89</f>
        <v>232401044</v>
      </c>
      <c r="C44" s="214" t="str">
        <f>D.SISWA!C89</f>
        <v>RAKA LEANER YACOB BOOM</v>
      </c>
      <c r="D44" s="242" t="str">
        <f>D.SISWA!D89</f>
        <v>XII RPL</v>
      </c>
      <c r="E44" s="299"/>
      <c r="F44" s="299"/>
      <c r="G44" s="299"/>
      <c r="H44" s="299"/>
      <c r="I44" s="53"/>
      <c r="J44" s="43"/>
      <c r="K44" s="43"/>
      <c r="L44" s="53"/>
      <c r="M44" s="43"/>
      <c r="N44" s="43"/>
      <c r="O44" s="53"/>
      <c r="P44" s="43"/>
      <c r="Q44" s="43"/>
      <c r="R44" s="53"/>
      <c r="S44" s="300"/>
      <c r="U44" s="246">
        <v>1</v>
      </c>
      <c r="V44" s="260" t="str">
        <f t="shared" si="6"/>
        <v>60</v>
      </c>
      <c r="W44" s="246"/>
      <c r="X44" s="217"/>
      <c r="Y44" s="251" t="e">
        <f t="shared" si="7"/>
        <v>#DIV/0!</v>
      </c>
      <c r="Z44" s="254"/>
      <c r="AA44" s="179"/>
      <c r="AB44" s="251" t="e">
        <f t="shared" si="8"/>
        <v>#DIV/0!</v>
      </c>
      <c r="AC44" s="254">
        <v>20</v>
      </c>
      <c r="AD44" s="179"/>
      <c r="AE44" s="251">
        <f t="shared" si="9"/>
        <v>20</v>
      </c>
      <c r="AF44" s="254"/>
      <c r="AG44" s="179"/>
      <c r="AH44" s="251" t="e">
        <f t="shared" si="10"/>
        <v>#DIV/0!</v>
      </c>
      <c r="AI44" s="257" t="e">
        <f t="shared" si="12"/>
        <v>#DIV/0!</v>
      </c>
    </row>
    <row r="45" spans="1:35" x14ac:dyDescent="0.35">
      <c r="A45" s="246">
        <f>D.SISWA!A45</f>
        <v>40</v>
      </c>
      <c r="B45" s="214">
        <f>D.SISWA!B90</f>
        <v>232401045</v>
      </c>
      <c r="C45" s="214" t="str">
        <f>D.SISWA!C90</f>
        <v>RATU CHIKA SRI ASTUTI</v>
      </c>
      <c r="D45" s="242" t="str">
        <f>D.SISWA!D90</f>
        <v>XII RPL</v>
      </c>
      <c r="E45" s="299"/>
      <c r="F45" s="299"/>
      <c r="G45" s="299"/>
      <c r="H45" s="299"/>
      <c r="I45" s="53"/>
      <c r="J45" s="43"/>
      <c r="K45" s="43"/>
      <c r="L45" s="53"/>
      <c r="M45" s="43"/>
      <c r="N45" s="43"/>
      <c r="O45" s="53"/>
      <c r="P45" s="43"/>
      <c r="Q45" s="43"/>
      <c r="R45" s="53"/>
      <c r="S45" s="300"/>
      <c r="U45" s="246">
        <v>1</v>
      </c>
      <c r="V45" s="260" t="str">
        <f t="shared" si="6"/>
        <v>60</v>
      </c>
      <c r="W45" s="246"/>
      <c r="X45" s="217"/>
      <c r="Y45" s="251" t="e">
        <f t="shared" si="7"/>
        <v>#DIV/0!</v>
      </c>
      <c r="Z45" s="254"/>
      <c r="AA45" s="179"/>
      <c r="AB45" s="251" t="e">
        <f t="shared" si="8"/>
        <v>#DIV/0!</v>
      </c>
      <c r="AC45" s="254">
        <v>51</v>
      </c>
      <c r="AD45" s="179"/>
      <c r="AE45" s="251">
        <f t="shared" si="9"/>
        <v>51</v>
      </c>
      <c r="AF45" s="254"/>
      <c r="AG45" s="179"/>
      <c r="AH45" s="251" t="e">
        <f t="shared" si="10"/>
        <v>#DIV/0!</v>
      </c>
      <c r="AI45" s="257" t="e">
        <f t="shared" si="12"/>
        <v>#DIV/0!</v>
      </c>
    </row>
    <row r="46" spans="1:35" x14ac:dyDescent="0.35">
      <c r="A46" s="246">
        <f>D.SISWA!A46</f>
        <v>41</v>
      </c>
      <c r="B46" s="214">
        <f>D.SISWA!B91</f>
        <v>232401046</v>
      </c>
      <c r="C46" s="214" t="str">
        <f>D.SISWA!C91</f>
        <v>RAYSAD RADANA</v>
      </c>
      <c r="D46" s="242" t="str">
        <f>D.SISWA!D91</f>
        <v>XII RPL</v>
      </c>
      <c r="E46" s="299"/>
      <c r="F46" s="299"/>
      <c r="G46" s="299"/>
      <c r="H46" s="299"/>
      <c r="I46" s="53"/>
      <c r="J46" s="43"/>
      <c r="K46" s="43"/>
      <c r="L46" s="53"/>
      <c r="M46" s="43"/>
      <c r="N46" s="43"/>
      <c r="O46" s="53"/>
      <c r="P46" s="43"/>
      <c r="Q46" s="43"/>
      <c r="R46" s="53"/>
      <c r="S46" s="300"/>
      <c r="U46" s="246">
        <v>1</v>
      </c>
      <c r="V46" s="260" t="str">
        <f t="shared" si="6"/>
        <v>60</v>
      </c>
      <c r="W46" s="246"/>
      <c r="X46" s="217"/>
      <c r="Y46" s="251" t="e">
        <f t="shared" si="7"/>
        <v>#DIV/0!</v>
      </c>
      <c r="Z46" s="254"/>
      <c r="AA46" s="179"/>
      <c r="AB46" s="251" t="e">
        <f t="shared" si="8"/>
        <v>#DIV/0!</v>
      </c>
      <c r="AC46" s="254">
        <v>57</v>
      </c>
      <c r="AD46" s="179"/>
      <c r="AE46" s="251">
        <f t="shared" si="9"/>
        <v>57</v>
      </c>
      <c r="AF46" s="254"/>
      <c r="AG46" s="179"/>
      <c r="AH46" s="251" t="e">
        <f t="shared" si="10"/>
        <v>#DIV/0!</v>
      </c>
      <c r="AI46" s="257" t="e">
        <f t="shared" si="12"/>
        <v>#DIV/0!</v>
      </c>
    </row>
    <row r="47" spans="1:35" x14ac:dyDescent="0.35">
      <c r="A47" s="246">
        <f>D.SISWA!A47</f>
        <v>42</v>
      </c>
      <c r="B47" s="214">
        <f>D.SISWA!B92</f>
        <v>232401047</v>
      </c>
      <c r="C47" s="214" t="str">
        <f>D.SISWA!C92</f>
        <v>REHAN RAMADAN</v>
      </c>
      <c r="D47" s="242" t="str">
        <f>D.SISWA!D92</f>
        <v>XII RPL</v>
      </c>
      <c r="E47" s="299"/>
      <c r="F47" s="299"/>
      <c r="G47" s="299"/>
      <c r="H47" s="299"/>
      <c r="I47" s="53"/>
      <c r="J47" s="43"/>
      <c r="K47" s="43"/>
      <c r="L47" s="53"/>
      <c r="M47" s="43"/>
      <c r="N47" s="43"/>
      <c r="O47" s="53"/>
      <c r="P47" s="43"/>
      <c r="Q47" s="43"/>
      <c r="R47" s="53"/>
      <c r="S47" s="300"/>
      <c r="U47" s="246">
        <v>1</v>
      </c>
      <c r="V47" s="260" t="str">
        <f t="shared" si="6"/>
        <v>60</v>
      </c>
      <c r="W47" s="246"/>
      <c r="X47" s="217"/>
      <c r="Y47" s="251" t="e">
        <f t="shared" si="7"/>
        <v>#DIV/0!</v>
      </c>
      <c r="Z47" s="254"/>
      <c r="AA47" s="179"/>
      <c r="AB47" s="251" t="e">
        <f t="shared" si="8"/>
        <v>#DIV/0!</v>
      </c>
      <c r="AC47" s="254">
        <v>49</v>
      </c>
      <c r="AD47" s="179"/>
      <c r="AE47" s="251">
        <f t="shared" si="9"/>
        <v>49</v>
      </c>
      <c r="AF47" s="254"/>
      <c r="AG47" s="179"/>
      <c r="AH47" s="251" t="e">
        <f t="shared" si="10"/>
        <v>#DIV/0!</v>
      </c>
      <c r="AI47" s="257" t="e">
        <f t="shared" si="12"/>
        <v>#DIV/0!</v>
      </c>
    </row>
    <row r="48" spans="1:35" x14ac:dyDescent="0.35">
      <c r="A48" s="246">
        <f>D.SISWA!A48</f>
        <v>43</v>
      </c>
      <c r="B48" s="214">
        <f>D.SISWA!B93</f>
        <v>232401048</v>
      </c>
      <c r="C48" s="214" t="str">
        <f>D.SISWA!C93</f>
        <v>RENDI MAULANA</v>
      </c>
      <c r="D48" s="242" t="str">
        <f>D.SISWA!D93</f>
        <v>XII RPL</v>
      </c>
      <c r="E48" s="299"/>
      <c r="F48" s="299"/>
      <c r="G48" s="299"/>
      <c r="H48" s="299"/>
      <c r="I48" s="53"/>
      <c r="J48" s="43"/>
      <c r="K48" s="43"/>
      <c r="L48" s="53"/>
      <c r="M48" s="43"/>
      <c r="N48" s="43"/>
      <c r="O48" s="53"/>
      <c r="P48" s="43"/>
      <c r="Q48" s="43"/>
      <c r="R48" s="53"/>
      <c r="S48" s="300"/>
      <c r="U48" s="246">
        <v>1</v>
      </c>
      <c r="V48" s="260" t="str">
        <f t="shared" si="6"/>
        <v>60</v>
      </c>
      <c r="W48" s="246"/>
      <c r="X48" s="217"/>
      <c r="Y48" s="251" t="e">
        <f t="shared" si="7"/>
        <v>#DIV/0!</v>
      </c>
      <c r="Z48" s="254"/>
      <c r="AA48" s="179"/>
      <c r="AB48" s="251" t="e">
        <f t="shared" si="8"/>
        <v>#DIV/0!</v>
      </c>
      <c r="AC48" s="254">
        <v>75</v>
      </c>
      <c r="AD48" s="179"/>
      <c r="AE48" s="251">
        <f t="shared" si="9"/>
        <v>75</v>
      </c>
      <c r="AF48" s="254"/>
      <c r="AG48" s="179"/>
      <c r="AH48" s="251" t="e">
        <f t="shared" si="10"/>
        <v>#DIV/0!</v>
      </c>
      <c r="AI48" s="257" t="e">
        <f t="shared" si="12"/>
        <v>#DIV/0!</v>
      </c>
    </row>
    <row r="49" spans="1:35" x14ac:dyDescent="0.35">
      <c r="A49" s="246">
        <f>D.SISWA!A49</f>
        <v>44</v>
      </c>
      <c r="B49" s="214">
        <f>D.SISWA!B94</f>
        <v>232401049</v>
      </c>
      <c r="C49" s="214" t="str">
        <f>D.SISWA!C94</f>
        <v>RESTA SEPTIANI</v>
      </c>
      <c r="D49" s="242" t="str">
        <f>D.SISWA!D94</f>
        <v>XII RPL</v>
      </c>
      <c r="E49" s="299"/>
      <c r="F49" s="299"/>
      <c r="G49" s="299"/>
      <c r="H49" s="299"/>
      <c r="I49" s="53"/>
      <c r="J49" s="43"/>
      <c r="K49" s="43"/>
      <c r="L49" s="53"/>
      <c r="M49" s="43"/>
      <c r="N49" s="43"/>
      <c r="O49" s="53"/>
      <c r="P49" s="43"/>
      <c r="Q49" s="43"/>
      <c r="R49" s="53"/>
      <c r="S49" s="300"/>
      <c r="U49" s="246">
        <v>1</v>
      </c>
      <c r="V49" s="260" t="str">
        <f t="shared" si="6"/>
        <v>60</v>
      </c>
      <c r="W49" s="246"/>
      <c r="X49" s="217"/>
      <c r="Y49" s="251" t="e">
        <f t="shared" si="7"/>
        <v>#DIV/0!</v>
      </c>
      <c r="Z49" s="254"/>
      <c r="AA49" s="179"/>
      <c r="AB49" s="251" t="e">
        <f t="shared" si="8"/>
        <v>#DIV/0!</v>
      </c>
      <c r="AC49" s="254">
        <v>49</v>
      </c>
      <c r="AD49" s="179"/>
      <c r="AE49" s="251">
        <f t="shared" si="9"/>
        <v>49</v>
      </c>
      <c r="AF49" s="254"/>
      <c r="AG49" s="179"/>
      <c r="AH49" s="251" t="e">
        <f t="shared" si="10"/>
        <v>#DIV/0!</v>
      </c>
      <c r="AI49" s="257" t="e">
        <f t="shared" si="12"/>
        <v>#DIV/0!</v>
      </c>
    </row>
    <row r="50" spans="1:35" x14ac:dyDescent="0.35">
      <c r="A50" s="246">
        <f>D.SISWA!A50</f>
        <v>45</v>
      </c>
      <c r="B50" s="214">
        <f>D.SISWA!B95</f>
        <v>232401050</v>
      </c>
      <c r="C50" s="214" t="str">
        <f>D.SISWA!C95</f>
        <v>RIAN SAPUTRA</v>
      </c>
      <c r="D50" s="242" t="str">
        <f>D.SISWA!D95</f>
        <v>XII RPL</v>
      </c>
      <c r="E50" s="299"/>
      <c r="F50" s="299"/>
      <c r="G50" s="299"/>
      <c r="H50" s="299"/>
      <c r="I50" s="53"/>
      <c r="J50" s="43"/>
      <c r="K50" s="43"/>
      <c r="L50" s="53"/>
      <c r="M50" s="43"/>
      <c r="N50" s="43"/>
      <c r="O50" s="53"/>
      <c r="P50" s="43"/>
      <c r="Q50" s="43"/>
      <c r="R50" s="53"/>
      <c r="S50" s="300"/>
      <c r="U50" s="246">
        <v>1</v>
      </c>
      <c r="V50" s="260" t="str">
        <f t="shared" si="6"/>
        <v>60</v>
      </c>
      <c r="W50" s="246"/>
      <c r="X50" s="217"/>
      <c r="Y50" s="251" t="e">
        <f t="shared" si="7"/>
        <v>#DIV/0!</v>
      </c>
      <c r="Z50" s="254"/>
      <c r="AA50" s="179"/>
      <c r="AB50" s="251" t="e">
        <f t="shared" si="8"/>
        <v>#DIV/0!</v>
      </c>
      <c r="AC50" s="254">
        <v>20</v>
      </c>
      <c r="AD50" s="179"/>
      <c r="AE50" s="251">
        <f t="shared" si="9"/>
        <v>20</v>
      </c>
      <c r="AF50" s="254"/>
      <c r="AG50" s="179"/>
      <c r="AH50" s="251" t="e">
        <f t="shared" si="10"/>
        <v>#DIV/0!</v>
      </c>
      <c r="AI50" s="257" t="e">
        <f t="shared" si="12"/>
        <v>#DIV/0!</v>
      </c>
    </row>
    <row r="51" spans="1:35" x14ac:dyDescent="0.35">
      <c r="A51" s="246">
        <f>D.SISWA!A51</f>
        <v>46</v>
      </c>
      <c r="B51" s="214">
        <f>D.SISWA!B96</f>
        <v>232401052</v>
      </c>
      <c r="C51" s="214" t="str">
        <f>D.SISWA!C96</f>
        <v>SAHILMI</v>
      </c>
      <c r="D51" s="242" t="str">
        <f>D.SISWA!D96</f>
        <v>XII RPL</v>
      </c>
      <c r="E51" s="299"/>
      <c r="F51" s="299"/>
      <c r="G51" s="299"/>
      <c r="H51" s="299"/>
      <c r="I51" s="53"/>
      <c r="J51" s="43"/>
      <c r="K51" s="43"/>
      <c r="L51" s="53"/>
      <c r="M51" s="43"/>
      <c r="N51" s="43"/>
      <c r="O51" s="53"/>
      <c r="P51" s="43"/>
      <c r="Q51" s="43"/>
      <c r="R51" s="53"/>
      <c r="S51" s="300"/>
      <c r="U51" s="246">
        <v>1</v>
      </c>
      <c r="V51" s="260" t="str">
        <f t="shared" si="6"/>
        <v>60</v>
      </c>
      <c r="W51" s="246"/>
      <c r="X51" s="217"/>
      <c r="Y51" s="251" t="e">
        <f t="shared" si="7"/>
        <v>#DIV/0!</v>
      </c>
      <c r="Z51" s="254"/>
      <c r="AA51" s="179"/>
      <c r="AB51" s="251" t="e">
        <f t="shared" si="8"/>
        <v>#DIV/0!</v>
      </c>
      <c r="AC51" s="254">
        <v>59</v>
      </c>
      <c r="AD51" s="179"/>
      <c r="AE51" s="251">
        <f t="shared" si="9"/>
        <v>59</v>
      </c>
      <c r="AF51" s="254"/>
      <c r="AG51" s="179"/>
      <c r="AH51" s="251" t="e">
        <f t="shared" si="10"/>
        <v>#DIV/0!</v>
      </c>
      <c r="AI51" s="257" t="e">
        <f t="shared" si="12"/>
        <v>#DIV/0!</v>
      </c>
    </row>
    <row r="52" spans="1:35" x14ac:dyDescent="0.35">
      <c r="A52" s="246">
        <f>D.SISWA!A52</f>
        <v>47</v>
      </c>
      <c r="B52" s="214">
        <f>D.SISWA!B97</f>
        <v>232401053</v>
      </c>
      <c r="C52" s="214" t="str">
        <f>D.SISWA!C97</f>
        <v>SATRIA NUGRAHA TRI WIGUNA</v>
      </c>
      <c r="D52" s="242" t="str">
        <f>D.SISWA!D97</f>
        <v>XII RPL</v>
      </c>
      <c r="E52" s="299"/>
      <c r="F52" s="299"/>
      <c r="G52" s="299"/>
      <c r="H52" s="299"/>
      <c r="I52" s="53"/>
      <c r="J52" s="43"/>
      <c r="K52" s="43"/>
      <c r="L52" s="53"/>
      <c r="M52" s="43"/>
      <c r="N52" s="43"/>
      <c r="O52" s="53"/>
      <c r="P52" s="43"/>
      <c r="Q52" s="43"/>
      <c r="R52" s="53"/>
      <c r="S52" s="300"/>
      <c r="U52" s="246">
        <v>1</v>
      </c>
      <c r="V52" s="260" t="str">
        <f t="shared" si="6"/>
        <v>60</v>
      </c>
      <c r="W52" s="246"/>
      <c r="X52" s="217"/>
      <c r="Y52" s="251" t="e">
        <f t="shared" si="7"/>
        <v>#DIV/0!</v>
      </c>
      <c r="Z52" s="254"/>
      <c r="AA52" s="179"/>
      <c r="AB52" s="251" t="e">
        <f t="shared" si="8"/>
        <v>#DIV/0!</v>
      </c>
      <c r="AC52" s="254">
        <v>47</v>
      </c>
      <c r="AD52" s="179"/>
      <c r="AE52" s="251">
        <f t="shared" si="9"/>
        <v>47</v>
      </c>
      <c r="AF52" s="254"/>
      <c r="AG52" s="179"/>
      <c r="AH52" s="251" t="e">
        <f t="shared" si="10"/>
        <v>#DIV/0!</v>
      </c>
      <c r="AI52" s="257" t="e">
        <f t="shared" si="12"/>
        <v>#DIV/0!</v>
      </c>
    </row>
    <row r="53" spans="1:35" ht="15" thickBot="1" x14ac:dyDescent="0.4">
      <c r="A53" s="249">
        <f>D.SISWA!A53</f>
        <v>48</v>
      </c>
      <c r="B53" s="258">
        <f>D.SISWA!B98</f>
        <v>232401054</v>
      </c>
      <c r="C53" s="258" t="str">
        <f>D.SISWA!C98</f>
        <v>VIRZY PRATAMA</v>
      </c>
      <c r="D53" s="259" t="str">
        <f>D.SISWA!D98</f>
        <v>XII RPL</v>
      </c>
      <c r="E53" s="299"/>
      <c r="F53" s="299"/>
      <c r="G53" s="299"/>
      <c r="H53" s="299"/>
      <c r="I53" s="53"/>
      <c r="J53" s="43"/>
      <c r="K53" s="43"/>
      <c r="L53" s="53"/>
      <c r="M53" s="43"/>
      <c r="N53" s="43"/>
      <c r="O53" s="53"/>
      <c r="P53" s="43"/>
      <c r="Q53" s="43"/>
      <c r="R53" s="53"/>
      <c r="S53" s="300"/>
      <c r="U53" s="249">
        <v>1</v>
      </c>
      <c r="V53" s="261" t="str">
        <f t="shared" si="6"/>
        <v>60</v>
      </c>
      <c r="W53" s="249"/>
      <c r="X53" s="252"/>
      <c r="Y53" s="253" t="e">
        <f t="shared" si="7"/>
        <v>#DIV/0!</v>
      </c>
      <c r="Z53" s="256"/>
      <c r="AA53" s="224"/>
      <c r="AB53" s="253" t="e">
        <f t="shared" si="8"/>
        <v>#DIV/0!</v>
      </c>
      <c r="AC53" s="256">
        <v>45</v>
      </c>
      <c r="AD53" s="224"/>
      <c r="AE53" s="253">
        <f t="shared" si="9"/>
        <v>45</v>
      </c>
      <c r="AF53" s="256"/>
      <c r="AG53" s="224"/>
      <c r="AH53" s="253" t="e">
        <f t="shared" si="10"/>
        <v>#DIV/0!</v>
      </c>
      <c r="AI53" s="257" t="e">
        <f t="shared" si="12"/>
        <v>#DIV/0!</v>
      </c>
    </row>
    <row r="54" spans="1:35" x14ac:dyDescent="0.35">
      <c r="E54" s="213"/>
      <c r="F54" s="213"/>
      <c r="G54" s="213"/>
      <c r="H54" s="213"/>
      <c r="U54" s="213"/>
      <c r="V54" s="213"/>
      <c r="W54" s="213"/>
      <c r="X54" s="213"/>
    </row>
    <row r="55" spans="1:35" x14ac:dyDescent="0.35">
      <c r="E55" s="213"/>
      <c r="F55" s="213"/>
      <c r="G55" s="213"/>
      <c r="H55" s="213"/>
      <c r="O55" s="413" t="s">
        <v>37</v>
      </c>
      <c r="P55" s="413"/>
      <c r="U55" s="213"/>
      <c r="V55" s="213"/>
      <c r="W55" s="213"/>
      <c r="X55" s="213"/>
      <c r="AE55" s="413" t="s">
        <v>37</v>
      </c>
      <c r="AF55" s="413"/>
    </row>
    <row r="56" spans="1:35" x14ac:dyDescent="0.35">
      <c r="E56" s="213"/>
      <c r="F56" s="213"/>
      <c r="G56" s="213"/>
      <c r="H56" s="213"/>
      <c r="O56" t="s">
        <v>237</v>
      </c>
      <c r="P56">
        <v>35</v>
      </c>
      <c r="U56" s="213"/>
      <c r="V56" s="213"/>
      <c r="W56" s="213"/>
      <c r="X56" s="213"/>
      <c r="AE56" t="s">
        <v>237</v>
      </c>
      <c r="AF56">
        <v>35</v>
      </c>
    </row>
    <row r="57" spans="1:35" x14ac:dyDescent="0.35">
      <c r="E57" s="213"/>
      <c r="F57" s="213"/>
      <c r="G57" s="213"/>
      <c r="H57" s="213"/>
      <c r="O57" t="s">
        <v>235</v>
      </c>
      <c r="P57">
        <v>25</v>
      </c>
      <c r="U57" s="213"/>
      <c r="V57" s="213"/>
      <c r="W57" s="213"/>
      <c r="X57" s="213"/>
      <c r="AE57" t="s">
        <v>235</v>
      </c>
      <c r="AF57">
        <v>25</v>
      </c>
    </row>
    <row r="58" spans="1:35" x14ac:dyDescent="0.35">
      <c r="E58" s="213"/>
      <c r="F58" s="213"/>
      <c r="G58" s="213"/>
      <c r="H58" s="213"/>
      <c r="O58" t="s">
        <v>16</v>
      </c>
      <c r="P58">
        <v>10</v>
      </c>
      <c r="U58" s="213"/>
      <c r="V58" s="213"/>
      <c r="W58" s="213"/>
      <c r="X58" s="213"/>
      <c r="AE58" t="s">
        <v>16</v>
      </c>
      <c r="AF58">
        <v>10</v>
      </c>
    </row>
    <row r="59" spans="1:35" x14ac:dyDescent="0.35">
      <c r="E59" s="213"/>
      <c r="F59" s="213"/>
      <c r="G59" s="213"/>
      <c r="H59" s="213"/>
      <c r="O59" t="s">
        <v>15</v>
      </c>
      <c r="P59">
        <v>15</v>
      </c>
      <c r="U59" s="213"/>
      <c r="V59" s="213"/>
      <c r="W59" s="213"/>
      <c r="X59" s="213"/>
      <c r="AE59" t="s">
        <v>15</v>
      </c>
      <c r="AF59">
        <v>15</v>
      </c>
    </row>
    <row r="60" spans="1:35" x14ac:dyDescent="0.35">
      <c r="E60" s="213"/>
      <c r="F60" s="213"/>
      <c r="G60" s="213"/>
      <c r="H60" s="213"/>
      <c r="O60" t="s">
        <v>19</v>
      </c>
      <c r="P60">
        <v>15</v>
      </c>
      <c r="U60" s="213"/>
      <c r="V60" s="213"/>
      <c r="W60" s="213"/>
      <c r="X60" s="213"/>
      <c r="AE60" t="s">
        <v>19</v>
      </c>
      <c r="AF60">
        <v>15</v>
      </c>
    </row>
    <row r="61" spans="1:35" x14ac:dyDescent="0.35">
      <c r="E61" s="213"/>
      <c r="F61" s="213"/>
      <c r="G61" s="213"/>
      <c r="H61" s="213"/>
      <c r="U61" s="213"/>
      <c r="V61" s="213"/>
      <c r="W61" s="213"/>
      <c r="X61" s="213"/>
    </row>
    <row r="62" spans="1:35" x14ac:dyDescent="0.35">
      <c r="E62" s="213"/>
      <c r="F62" s="213"/>
      <c r="G62" s="213"/>
      <c r="H62" s="213"/>
      <c r="U62" s="213"/>
      <c r="V62" s="213"/>
      <c r="W62" s="213"/>
      <c r="X62" s="213"/>
    </row>
    <row r="63" spans="1:35" x14ac:dyDescent="0.35">
      <c r="E63" s="213"/>
      <c r="F63" s="213"/>
      <c r="G63" s="213"/>
      <c r="H63" s="213"/>
      <c r="U63" s="213"/>
      <c r="V63" s="213"/>
      <c r="W63" s="213"/>
      <c r="X63" s="213"/>
    </row>
    <row r="64" spans="1:35" x14ac:dyDescent="0.35">
      <c r="E64" s="213"/>
      <c r="F64" s="213"/>
      <c r="G64" s="213"/>
      <c r="H64" s="213"/>
      <c r="U64" s="213"/>
      <c r="V64" s="213"/>
      <c r="W64" s="213"/>
      <c r="X64" s="213"/>
    </row>
    <row r="65" spans="5:24" x14ac:dyDescent="0.35">
      <c r="E65" s="213"/>
      <c r="F65" s="213"/>
      <c r="G65" s="213"/>
      <c r="H65" s="213"/>
      <c r="U65" s="213"/>
      <c r="V65" s="213"/>
      <c r="W65" s="213"/>
      <c r="X65" s="213"/>
    </row>
    <row r="66" spans="5:24" x14ac:dyDescent="0.35">
      <c r="E66" s="213"/>
      <c r="F66" s="213"/>
      <c r="G66" s="213"/>
      <c r="H66" s="213"/>
      <c r="U66" s="213"/>
      <c r="V66" s="213"/>
      <c r="W66" s="213"/>
      <c r="X66" s="213"/>
    </row>
    <row r="67" spans="5:24" x14ac:dyDescent="0.35">
      <c r="E67" s="213"/>
      <c r="F67" s="213"/>
      <c r="G67" s="213"/>
      <c r="H67" s="213"/>
      <c r="U67" s="213"/>
      <c r="V67" s="213"/>
      <c r="W67" s="213"/>
      <c r="X67" s="213"/>
    </row>
    <row r="68" spans="5:24" x14ac:dyDescent="0.35">
      <c r="E68" s="213"/>
      <c r="F68" s="213"/>
      <c r="G68" s="213"/>
      <c r="H68" s="213"/>
      <c r="U68" s="213"/>
      <c r="V68" s="213"/>
      <c r="W68" s="213"/>
      <c r="X68" s="213"/>
    </row>
    <row r="69" spans="5:24" x14ac:dyDescent="0.35">
      <c r="E69" s="213"/>
      <c r="F69" s="213"/>
      <c r="G69" s="213"/>
      <c r="H69" s="213"/>
      <c r="U69" s="213"/>
      <c r="V69" s="213"/>
      <c r="W69" s="213"/>
      <c r="X69" s="213"/>
    </row>
    <row r="70" spans="5:24" x14ac:dyDescent="0.35">
      <c r="E70" s="213"/>
      <c r="F70" s="213"/>
      <c r="G70" s="213"/>
      <c r="H70" s="213"/>
      <c r="U70" s="213"/>
      <c r="V70" s="213"/>
      <c r="W70" s="213"/>
      <c r="X70" s="213"/>
    </row>
    <row r="71" spans="5:24" x14ac:dyDescent="0.35">
      <c r="E71" s="213"/>
      <c r="F71" s="213"/>
      <c r="G71" s="213"/>
      <c r="H71" s="213"/>
      <c r="U71" s="213"/>
      <c r="V71" s="213"/>
      <c r="W71" s="213"/>
      <c r="X71" s="213"/>
    </row>
    <row r="72" spans="5:24" x14ac:dyDescent="0.35">
      <c r="E72" s="213"/>
      <c r="F72" s="213"/>
      <c r="G72" s="213"/>
      <c r="H72" s="213"/>
      <c r="U72" s="213"/>
      <c r="V72" s="213"/>
      <c r="W72" s="213"/>
      <c r="X72" s="213"/>
    </row>
    <row r="73" spans="5:24" x14ac:dyDescent="0.35">
      <c r="E73" s="213"/>
      <c r="F73" s="213"/>
      <c r="G73" s="213"/>
      <c r="H73" s="213"/>
      <c r="U73" s="213"/>
      <c r="V73" s="213"/>
      <c r="W73" s="213"/>
      <c r="X73" s="213"/>
    </row>
    <row r="74" spans="5:24" x14ac:dyDescent="0.35">
      <c r="E74" s="213"/>
      <c r="F74" s="213"/>
      <c r="G74" s="213"/>
      <c r="H74" s="213"/>
      <c r="U74" s="213"/>
      <c r="V74" s="213"/>
      <c r="W74" s="213"/>
      <c r="X74" s="213"/>
    </row>
    <row r="75" spans="5:24" x14ac:dyDescent="0.35">
      <c r="E75" s="213"/>
      <c r="F75" s="213"/>
      <c r="G75" s="213"/>
      <c r="H75" s="213"/>
      <c r="U75" s="213"/>
      <c r="V75" s="213"/>
      <c r="W75" s="213"/>
      <c r="X75" s="213"/>
    </row>
    <row r="76" spans="5:24" x14ac:dyDescent="0.35">
      <c r="E76" s="213"/>
      <c r="F76" s="213"/>
      <c r="G76" s="213"/>
      <c r="H76" s="213"/>
      <c r="U76" s="213"/>
      <c r="V76" s="213"/>
      <c r="W76" s="213"/>
      <c r="X76" s="213"/>
    </row>
    <row r="77" spans="5:24" x14ac:dyDescent="0.35">
      <c r="E77" s="213"/>
      <c r="F77" s="213"/>
      <c r="G77" s="213"/>
      <c r="H77" s="213"/>
      <c r="U77" s="213"/>
      <c r="V77" s="213"/>
      <c r="W77" s="213"/>
      <c r="X77" s="213"/>
    </row>
    <row r="78" spans="5:24" x14ac:dyDescent="0.35">
      <c r="E78" s="213"/>
      <c r="F78" s="213"/>
      <c r="G78" s="213"/>
      <c r="H78" s="213"/>
      <c r="U78" s="213"/>
      <c r="V78" s="213"/>
      <c r="W78" s="213"/>
      <c r="X78" s="213"/>
    </row>
    <row r="79" spans="5:24" x14ac:dyDescent="0.35">
      <c r="E79" s="213"/>
      <c r="F79" s="213"/>
      <c r="G79" s="213"/>
      <c r="H79" s="213"/>
      <c r="U79" s="213"/>
      <c r="V79" s="213"/>
      <c r="W79" s="213"/>
      <c r="X79" s="213"/>
    </row>
    <row r="80" spans="5:24" x14ac:dyDescent="0.35">
      <c r="E80" s="213"/>
      <c r="F80" s="213"/>
      <c r="G80" s="213"/>
      <c r="H80" s="213"/>
      <c r="U80" s="213"/>
      <c r="V80" s="213"/>
      <c r="W80" s="213"/>
      <c r="X80" s="213"/>
    </row>
    <row r="81" spans="5:24" x14ac:dyDescent="0.35">
      <c r="E81" s="213"/>
      <c r="F81" s="213"/>
      <c r="G81" s="213"/>
      <c r="H81" s="213"/>
      <c r="U81" s="213"/>
      <c r="V81" s="213"/>
      <c r="W81" s="213"/>
      <c r="X81" s="213"/>
    </row>
    <row r="82" spans="5:24" x14ac:dyDescent="0.35">
      <c r="E82" s="213"/>
      <c r="F82" s="213"/>
      <c r="G82" s="213"/>
      <c r="H82" s="213"/>
      <c r="U82" s="213"/>
      <c r="V82" s="213"/>
      <c r="W82" s="213"/>
      <c r="X82" s="213"/>
    </row>
    <row r="83" spans="5:24" x14ac:dyDescent="0.35">
      <c r="E83" s="213"/>
      <c r="F83" s="213"/>
      <c r="G83" s="213"/>
      <c r="H83" s="213"/>
      <c r="U83" s="213"/>
      <c r="V83" s="213"/>
      <c r="W83" s="213"/>
      <c r="X83" s="213"/>
    </row>
    <row r="84" spans="5:24" x14ac:dyDescent="0.35">
      <c r="E84" s="213"/>
      <c r="F84" s="213"/>
      <c r="G84" s="213"/>
      <c r="H84" s="213"/>
      <c r="U84" s="213"/>
      <c r="V84" s="213"/>
      <c r="W84" s="213"/>
      <c r="X84" s="213"/>
    </row>
    <row r="85" spans="5:24" x14ac:dyDescent="0.35">
      <c r="E85" s="213"/>
      <c r="F85" s="213"/>
      <c r="G85" s="213"/>
      <c r="H85" s="213"/>
      <c r="U85" s="213"/>
      <c r="V85" s="213"/>
      <c r="W85" s="213"/>
      <c r="X85" s="213"/>
    </row>
    <row r="86" spans="5:24" x14ac:dyDescent="0.35">
      <c r="E86" s="213"/>
      <c r="F86" s="213"/>
      <c r="G86" s="213"/>
      <c r="H86" s="213"/>
      <c r="U86" s="213"/>
      <c r="V86" s="213"/>
      <c r="W86" s="213"/>
      <c r="X86" s="213"/>
    </row>
    <row r="87" spans="5:24" x14ac:dyDescent="0.35">
      <c r="E87" s="213"/>
      <c r="F87" s="213"/>
      <c r="G87" s="213"/>
      <c r="H87" s="213"/>
      <c r="U87" s="213"/>
      <c r="V87" s="213"/>
      <c r="W87" s="213"/>
      <c r="X87" s="213"/>
    </row>
    <row r="88" spans="5:24" x14ac:dyDescent="0.35">
      <c r="E88" s="213"/>
      <c r="F88" s="213"/>
      <c r="G88" s="213"/>
      <c r="H88" s="213"/>
      <c r="U88" s="213"/>
      <c r="V88" s="213"/>
      <c r="W88" s="213"/>
      <c r="X88" s="213"/>
    </row>
    <row r="89" spans="5:24" x14ac:dyDescent="0.35">
      <c r="E89" s="213"/>
      <c r="F89" s="213"/>
      <c r="G89" s="213"/>
      <c r="H89" s="213"/>
      <c r="U89" s="213"/>
      <c r="V89" s="213"/>
      <c r="W89" s="213"/>
      <c r="X89" s="213"/>
    </row>
    <row r="90" spans="5:24" x14ac:dyDescent="0.35">
      <c r="E90" s="213"/>
      <c r="F90" s="213"/>
      <c r="G90" s="213"/>
      <c r="H90" s="213"/>
      <c r="U90" s="213"/>
      <c r="V90" s="213"/>
      <c r="W90" s="213"/>
      <c r="X90" s="213"/>
    </row>
    <row r="91" spans="5:24" x14ac:dyDescent="0.35">
      <c r="E91" s="213"/>
      <c r="F91" s="213"/>
      <c r="G91" s="213"/>
      <c r="H91" s="213"/>
      <c r="U91" s="213"/>
      <c r="V91" s="213"/>
      <c r="W91" s="213"/>
      <c r="X91" s="213"/>
    </row>
    <row r="92" spans="5:24" x14ac:dyDescent="0.35">
      <c r="E92" s="213"/>
      <c r="F92" s="213"/>
      <c r="G92" s="213"/>
      <c r="H92" s="213"/>
      <c r="U92" s="213"/>
      <c r="V92" s="213"/>
      <c r="W92" s="213"/>
      <c r="X92" s="213"/>
    </row>
    <row r="93" spans="5:24" x14ac:dyDescent="0.35">
      <c r="E93" s="213"/>
      <c r="F93" s="213"/>
      <c r="G93" s="213"/>
      <c r="H93" s="213"/>
      <c r="U93" s="213"/>
      <c r="V93" s="213"/>
      <c r="W93" s="213"/>
      <c r="X93" s="213"/>
    </row>
    <row r="94" spans="5:24" x14ac:dyDescent="0.35">
      <c r="E94" s="213"/>
      <c r="F94" s="213"/>
      <c r="G94" s="213"/>
      <c r="H94" s="213"/>
      <c r="U94" s="213"/>
      <c r="V94" s="213"/>
      <c r="W94" s="213"/>
      <c r="X94" s="213"/>
    </row>
    <row r="95" spans="5:24" x14ac:dyDescent="0.35">
      <c r="E95" s="213"/>
      <c r="F95" s="213"/>
      <c r="G95" s="213"/>
      <c r="H95" s="213"/>
      <c r="U95" s="213"/>
      <c r="V95" s="213"/>
      <c r="W95" s="213"/>
      <c r="X95" s="213"/>
    </row>
    <row r="96" spans="5:24" x14ac:dyDescent="0.35">
      <c r="E96" s="213"/>
      <c r="F96" s="213"/>
      <c r="G96" s="213"/>
      <c r="H96" s="213"/>
      <c r="U96" s="213"/>
      <c r="V96" s="213"/>
      <c r="W96" s="213"/>
      <c r="X96" s="213"/>
    </row>
    <row r="97" spans="5:24" x14ac:dyDescent="0.35">
      <c r="E97" s="213"/>
      <c r="F97" s="213"/>
      <c r="G97" s="213"/>
      <c r="H97" s="213"/>
      <c r="U97" s="213"/>
      <c r="V97" s="213"/>
      <c r="W97" s="213"/>
      <c r="X97" s="213"/>
    </row>
    <row r="98" spans="5:24" x14ac:dyDescent="0.35">
      <c r="E98" s="213"/>
      <c r="F98" s="213"/>
      <c r="G98" s="213"/>
      <c r="H98" s="213"/>
      <c r="U98" s="213"/>
      <c r="V98" s="213"/>
      <c r="W98" s="213"/>
      <c r="X98" s="213"/>
    </row>
  </sheetData>
  <mergeCells count="22">
    <mergeCell ref="U1:AI1"/>
    <mergeCell ref="E2:S2"/>
    <mergeCell ref="U2:AI2"/>
    <mergeCell ref="E3:S3"/>
    <mergeCell ref="U3:AI3"/>
    <mergeCell ref="A1:A4"/>
    <mergeCell ref="B1:B4"/>
    <mergeCell ref="C1:C4"/>
    <mergeCell ref="D1:D4"/>
    <mergeCell ref="E1:S1"/>
    <mergeCell ref="E4:F4"/>
    <mergeCell ref="G4:I4"/>
    <mergeCell ref="J4:L4"/>
    <mergeCell ref="M4:O4"/>
    <mergeCell ref="P4:R4"/>
    <mergeCell ref="W4:Y4"/>
    <mergeCell ref="Z4:AB4"/>
    <mergeCell ref="AC4:AE4"/>
    <mergeCell ref="AF4:AH4"/>
    <mergeCell ref="O55:P55"/>
    <mergeCell ref="AE55:AF55"/>
    <mergeCell ref="U4:V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L25"/>
  <sheetViews>
    <sheetView workbookViewId="0">
      <selection activeCell="C20" sqref="C20"/>
    </sheetView>
  </sheetViews>
  <sheetFormatPr defaultRowHeight="14.5" x14ac:dyDescent="0.35"/>
  <cols>
    <col min="1" max="1" width="4.54296875" customWidth="1"/>
    <col min="2" max="2" width="9" customWidth="1"/>
    <col min="3" max="3" width="12.1796875" bestFit="1" customWidth="1"/>
    <col min="4" max="4" width="9.1796875" bestFit="1" customWidth="1"/>
    <col min="5" max="5" width="7.81640625" bestFit="1" customWidth="1"/>
    <col min="6" max="6" width="4" customWidth="1"/>
  </cols>
  <sheetData>
    <row r="1" spans="2:12" ht="17.5" x14ac:dyDescent="0.35">
      <c r="B1" s="229" t="s">
        <v>256</v>
      </c>
      <c r="C1" s="230" t="s">
        <v>257</v>
      </c>
      <c r="D1" s="230" t="s">
        <v>258</v>
      </c>
      <c r="E1" s="231" t="s">
        <v>36</v>
      </c>
    </row>
    <row r="2" spans="2:12" hidden="1" x14ac:dyDescent="0.35">
      <c r="B2" s="487" t="s">
        <v>230</v>
      </c>
      <c r="C2" s="236" t="s">
        <v>259</v>
      </c>
      <c r="D2" s="232" t="s">
        <v>251</v>
      </c>
      <c r="E2" s="228" t="s">
        <v>260</v>
      </c>
      <c r="L2" s="222"/>
    </row>
    <row r="3" spans="2:12" hidden="1" x14ac:dyDescent="0.35">
      <c r="B3" s="488"/>
      <c r="C3" s="237" t="s">
        <v>261</v>
      </c>
      <c r="D3" s="233" t="s">
        <v>126</v>
      </c>
      <c r="E3" s="225" t="s">
        <v>262</v>
      </c>
      <c r="L3" s="222"/>
    </row>
    <row r="4" spans="2:12" ht="15" thickBot="1" x14ac:dyDescent="0.4">
      <c r="B4" s="489"/>
      <c r="C4" s="238" t="s">
        <v>263</v>
      </c>
      <c r="D4" s="234" t="s">
        <v>282</v>
      </c>
      <c r="E4" s="226" t="s">
        <v>264</v>
      </c>
      <c r="L4" s="222"/>
    </row>
    <row r="5" spans="2:12" hidden="1" x14ac:dyDescent="0.35">
      <c r="B5" s="487" t="s">
        <v>266</v>
      </c>
      <c r="C5" s="236" t="s">
        <v>265</v>
      </c>
      <c r="D5" s="232" t="s">
        <v>251</v>
      </c>
      <c r="E5" s="228" t="s">
        <v>267</v>
      </c>
      <c r="L5" s="222"/>
    </row>
    <row r="6" spans="2:12" x14ac:dyDescent="0.35">
      <c r="B6" s="488"/>
      <c r="C6" s="237" t="s">
        <v>261</v>
      </c>
      <c r="D6" s="233" t="s">
        <v>238</v>
      </c>
      <c r="E6" s="225" t="s">
        <v>268</v>
      </c>
      <c r="L6" s="222"/>
    </row>
    <row r="7" spans="2:12" x14ac:dyDescent="0.35">
      <c r="B7" s="488"/>
      <c r="C7" s="122" t="s">
        <v>269</v>
      </c>
      <c r="D7" s="233" t="s">
        <v>282</v>
      </c>
      <c r="E7" s="225" t="s">
        <v>268</v>
      </c>
      <c r="L7" s="222"/>
    </row>
    <row r="8" spans="2:12" hidden="1" x14ac:dyDescent="0.35">
      <c r="B8" s="488"/>
      <c r="C8" s="122" t="s">
        <v>270</v>
      </c>
      <c r="D8" s="233" t="s">
        <v>254</v>
      </c>
      <c r="E8" s="225" t="s">
        <v>260</v>
      </c>
      <c r="L8" s="222"/>
    </row>
    <row r="9" spans="2:12" ht="15" thickBot="1" x14ac:dyDescent="0.4">
      <c r="B9" s="489"/>
      <c r="C9" s="238" t="s">
        <v>271</v>
      </c>
      <c r="D9" s="234" t="s">
        <v>282</v>
      </c>
      <c r="E9" s="226" t="s">
        <v>264</v>
      </c>
    </row>
    <row r="10" spans="2:12" hidden="1" x14ac:dyDescent="0.35">
      <c r="B10" s="490" t="s">
        <v>272</v>
      </c>
      <c r="C10" s="236" t="s">
        <v>273</v>
      </c>
      <c r="D10" s="232" t="s">
        <v>125</v>
      </c>
      <c r="E10" s="228" t="s">
        <v>274</v>
      </c>
    </row>
    <row r="11" spans="2:12" hidden="1" x14ac:dyDescent="0.35">
      <c r="B11" s="491"/>
      <c r="C11" s="237" t="s">
        <v>275</v>
      </c>
      <c r="D11" s="233" t="s">
        <v>125</v>
      </c>
      <c r="E11" s="225" t="s">
        <v>262</v>
      </c>
    </row>
    <row r="12" spans="2:12" hidden="1" x14ac:dyDescent="0.35">
      <c r="B12" s="491"/>
      <c r="C12" s="237" t="s">
        <v>270</v>
      </c>
      <c r="D12" s="233" t="s">
        <v>126</v>
      </c>
      <c r="E12" s="225" t="s">
        <v>274</v>
      </c>
    </row>
    <row r="13" spans="2:12" ht="15" hidden="1" thickBot="1" x14ac:dyDescent="0.4">
      <c r="B13" s="492"/>
      <c r="C13" s="238" t="s">
        <v>271</v>
      </c>
      <c r="D13" s="234" t="s">
        <v>126</v>
      </c>
      <c r="E13" s="226" t="s">
        <v>262</v>
      </c>
    </row>
    <row r="14" spans="2:12" hidden="1" x14ac:dyDescent="0.35">
      <c r="B14" s="490" t="s">
        <v>278</v>
      </c>
      <c r="C14" s="236" t="s">
        <v>283</v>
      </c>
      <c r="D14" s="232" t="s">
        <v>282</v>
      </c>
      <c r="E14" s="228" t="s">
        <v>262</v>
      </c>
    </row>
    <row r="15" spans="2:12" ht="24.75" hidden="1" customHeight="1" thickBot="1" x14ac:dyDescent="0.4">
      <c r="B15" s="492"/>
      <c r="C15" s="238" t="s">
        <v>277</v>
      </c>
      <c r="D15" s="234" t="s">
        <v>282</v>
      </c>
      <c r="E15" s="226" t="s">
        <v>276</v>
      </c>
    </row>
    <row r="16" spans="2:12" x14ac:dyDescent="0.35">
      <c r="B16" s="493" t="s">
        <v>279</v>
      </c>
      <c r="C16" s="239" t="s">
        <v>265</v>
      </c>
      <c r="D16" s="235" t="s">
        <v>282</v>
      </c>
      <c r="E16" s="227" t="s">
        <v>268</v>
      </c>
      <c r="G16" s="222"/>
    </row>
    <row r="17" spans="2:5" ht="24" hidden="1" customHeight="1" thickBot="1" x14ac:dyDescent="0.4">
      <c r="B17" s="489"/>
      <c r="C17" s="238" t="s">
        <v>280</v>
      </c>
      <c r="D17" s="234" t="s">
        <v>126</v>
      </c>
      <c r="E17" s="226" t="s">
        <v>274</v>
      </c>
    </row>
    <row r="18" spans="2:5" ht="9.75" customHeight="1" x14ac:dyDescent="0.35"/>
    <row r="19" spans="2:5" x14ac:dyDescent="0.35">
      <c r="B19" s="222" t="s">
        <v>244</v>
      </c>
    </row>
    <row r="20" spans="2:5" x14ac:dyDescent="0.35">
      <c r="B20" s="222" t="s">
        <v>245</v>
      </c>
      <c r="C20" t="s">
        <v>251</v>
      </c>
    </row>
    <row r="21" spans="2:5" x14ac:dyDescent="0.35">
      <c r="B21" s="222" t="s">
        <v>246</v>
      </c>
      <c r="C21" t="s">
        <v>281</v>
      </c>
    </row>
    <row r="22" spans="2:5" x14ac:dyDescent="0.35">
      <c r="B22" s="222" t="s">
        <v>247</v>
      </c>
      <c r="C22" t="s">
        <v>252</v>
      </c>
    </row>
    <row r="23" spans="2:5" x14ac:dyDescent="0.35">
      <c r="B23" s="222" t="s">
        <v>248</v>
      </c>
      <c r="C23" t="s">
        <v>253</v>
      </c>
    </row>
    <row r="24" spans="2:5" x14ac:dyDescent="0.35">
      <c r="B24" s="222" t="s">
        <v>249</v>
      </c>
      <c r="C24" t="s">
        <v>254</v>
      </c>
    </row>
    <row r="25" spans="2:5" x14ac:dyDescent="0.35">
      <c r="B25" s="222" t="s">
        <v>250</v>
      </c>
      <c r="C25" t="s">
        <v>255</v>
      </c>
    </row>
  </sheetData>
  <autoFilter ref="B1:E17">
    <filterColumn colId="3">
      <filters>
        <filter val="12 ACP"/>
        <filter val="12 PPLG"/>
      </filters>
    </filterColumn>
  </autoFilter>
  <mergeCells count="5">
    <mergeCell ref="B2:B4"/>
    <mergeCell ref="B5:B9"/>
    <mergeCell ref="B10:B13"/>
    <mergeCell ref="B14:B15"/>
    <mergeCell ref="B16:B17"/>
  </mergeCells>
  <pageMargins left="0.34" right="0.70866141732283472" top="0.74803149606299213" bottom="0.37" header="0.31496062992125984" footer="0.19"/>
  <pageSetup paperSize="9" scale="13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topLeftCell="C1" workbookViewId="0">
      <pane ySplit="1" topLeftCell="A2" activePane="bottomLeft" state="frozen"/>
      <selection pane="bottomLeft" activeCell="I7" sqref="I7"/>
    </sheetView>
  </sheetViews>
  <sheetFormatPr defaultRowHeight="14.5" x14ac:dyDescent="0.35"/>
  <cols>
    <col min="1" max="1" width="5.7265625" style="222" bestFit="1" customWidth="1"/>
    <col min="2" max="2" width="12.81640625" bestFit="1" customWidth="1"/>
    <col min="3" max="3" width="34.54296875" bestFit="1" customWidth="1"/>
    <col min="4" max="4" width="11.453125" bestFit="1" customWidth="1"/>
  </cols>
  <sheetData>
    <row r="1" spans="1:14" ht="15" customHeight="1" x14ac:dyDescent="0.35">
      <c r="A1" s="471" t="s">
        <v>1</v>
      </c>
      <c r="B1" s="471" t="s">
        <v>2</v>
      </c>
      <c r="C1" s="471" t="s">
        <v>3</v>
      </c>
      <c r="D1" s="471" t="s">
        <v>36</v>
      </c>
      <c r="E1" s="494" t="s">
        <v>288</v>
      </c>
      <c r="F1" s="495"/>
      <c r="G1" s="495"/>
      <c r="H1" s="495"/>
      <c r="I1" s="495"/>
      <c r="J1" s="495"/>
      <c r="K1" s="495"/>
      <c r="L1" s="495"/>
      <c r="M1" s="495"/>
      <c r="N1" s="496"/>
    </row>
    <row r="2" spans="1:14" ht="15" customHeight="1" x14ac:dyDescent="0.35">
      <c r="A2" s="471"/>
      <c r="B2" s="471"/>
      <c r="C2" s="471"/>
      <c r="D2" s="471"/>
      <c r="E2" s="497"/>
      <c r="F2" s="498"/>
      <c r="G2" s="498"/>
      <c r="H2" s="498"/>
      <c r="I2" s="498"/>
      <c r="J2" s="498"/>
      <c r="K2" s="498"/>
      <c r="L2" s="498"/>
      <c r="M2" s="498"/>
      <c r="N2" s="499"/>
    </row>
    <row r="3" spans="1:14" ht="15" customHeight="1" x14ac:dyDescent="0.35">
      <c r="A3" s="471"/>
      <c r="B3" s="471"/>
      <c r="C3" s="471"/>
      <c r="D3" s="471"/>
      <c r="E3" s="500"/>
      <c r="F3" s="501"/>
      <c r="G3" s="501"/>
      <c r="H3" s="501"/>
      <c r="I3" s="501"/>
      <c r="J3" s="501"/>
      <c r="K3" s="501"/>
      <c r="L3" s="501"/>
      <c r="M3" s="501"/>
      <c r="N3" s="502"/>
    </row>
    <row r="4" spans="1:14" ht="15" customHeight="1" x14ac:dyDescent="0.35">
      <c r="A4" s="471"/>
      <c r="B4" s="471"/>
      <c r="C4" s="471"/>
      <c r="D4" s="471"/>
      <c r="E4" s="503">
        <v>1</v>
      </c>
      <c r="F4" s="503">
        <v>2</v>
      </c>
      <c r="G4" s="507">
        <v>3</v>
      </c>
      <c r="H4" s="508"/>
      <c r="I4" s="509"/>
      <c r="J4" s="505">
        <v>4</v>
      </c>
      <c r="K4" s="506"/>
      <c r="L4" s="506"/>
      <c r="M4" s="289"/>
      <c r="N4" s="289"/>
    </row>
    <row r="5" spans="1:14" ht="17.5" x14ac:dyDescent="0.35">
      <c r="A5" s="210">
        <v>1</v>
      </c>
      <c r="B5" s="210">
        <v>2</v>
      </c>
      <c r="C5" s="210">
        <v>3</v>
      </c>
      <c r="D5" s="210">
        <v>4</v>
      </c>
      <c r="E5" s="504"/>
      <c r="F5" s="504"/>
      <c r="G5" s="290" t="s">
        <v>282</v>
      </c>
      <c r="H5" s="290" t="s">
        <v>126</v>
      </c>
      <c r="I5" s="287" t="s">
        <v>125</v>
      </c>
      <c r="J5" s="290" t="s">
        <v>282</v>
      </c>
      <c r="K5" s="290" t="s">
        <v>126</v>
      </c>
      <c r="L5" s="287" t="s">
        <v>125</v>
      </c>
      <c r="M5" s="287">
        <v>5</v>
      </c>
      <c r="N5" s="287">
        <v>6</v>
      </c>
    </row>
    <row r="6" spans="1:14" x14ac:dyDescent="0.35">
      <c r="A6" s="263">
        <f>D.SISWA!A6</f>
        <v>1</v>
      </c>
      <c r="B6" s="286">
        <f>D.SISWA!B6</f>
        <v>242501001</v>
      </c>
      <c r="C6" s="286" t="str">
        <f>D.SISWA!C6</f>
        <v>ALVIN PRASETIA</v>
      </c>
      <c r="D6" s="286" t="str">
        <f>D.SISWA!D6</f>
        <v>XI ACP</v>
      </c>
    </row>
    <row r="7" spans="1:14" x14ac:dyDescent="0.35">
      <c r="A7" s="246">
        <f>D.SISWA!A7</f>
        <v>2</v>
      </c>
      <c r="B7" s="214">
        <f>D.SISWA!B7</f>
        <v>242501002</v>
      </c>
      <c r="C7" s="214" t="str">
        <f>D.SISWA!C7</f>
        <v>AKBAR MAULANA</v>
      </c>
      <c r="D7" s="214" t="str">
        <f>D.SISWA!D7</f>
        <v>XI ACP</v>
      </c>
    </row>
    <row r="8" spans="1:14" x14ac:dyDescent="0.35">
      <c r="A8" s="246">
        <f>D.SISWA!A8</f>
        <v>3</v>
      </c>
      <c r="B8" s="214">
        <f>D.SISWA!B8</f>
        <v>242501003</v>
      </c>
      <c r="C8" s="214" t="str">
        <f>D.SISWA!C8</f>
        <v>FADIL ABDUL AZIZ</v>
      </c>
      <c r="D8" s="214" t="str">
        <f>D.SISWA!D8</f>
        <v>XI ACP</v>
      </c>
    </row>
    <row r="9" spans="1:14" x14ac:dyDescent="0.35">
      <c r="A9" s="246">
        <f>D.SISWA!A9</f>
        <v>4</v>
      </c>
      <c r="B9" s="214">
        <f>D.SISWA!B9</f>
        <v>242501004</v>
      </c>
      <c r="C9" s="214" t="str">
        <f>D.SISWA!C9</f>
        <v>FAJAR MAULANA NUGRAHA</v>
      </c>
      <c r="D9" s="214" t="str">
        <f>D.SISWA!D9</f>
        <v>XI ACP</v>
      </c>
    </row>
    <row r="10" spans="1:14" x14ac:dyDescent="0.35">
      <c r="A10" s="246">
        <f>D.SISWA!A10</f>
        <v>5</v>
      </c>
      <c r="B10" s="214">
        <f>D.SISWA!B10</f>
        <v>242501105</v>
      </c>
      <c r="C10" s="214" t="str">
        <f>D.SISWA!C10</f>
        <v>KHANSA AZRIZA</v>
      </c>
      <c r="D10" s="214" t="str">
        <f>D.SISWA!D10</f>
        <v>XI ACP</v>
      </c>
    </row>
    <row r="11" spans="1:14" x14ac:dyDescent="0.35">
      <c r="A11" s="246">
        <f>D.SISWA!A11</f>
        <v>6</v>
      </c>
      <c r="B11" s="214">
        <f>D.SISWA!B11</f>
        <v>242501005</v>
      </c>
      <c r="C11" s="214" t="str">
        <f>D.SISWA!C11</f>
        <v>RAYA AULIA NAJMI</v>
      </c>
      <c r="D11" s="214" t="str">
        <f>D.SISWA!D11</f>
        <v>XI ACP</v>
      </c>
    </row>
    <row r="12" spans="1:14" x14ac:dyDescent="0.35">
      <c r="A12" s="246">
        <f>D.SISWA!A12</f>
        <v>7</v>
      </c>
      <c r="B12" s="214">
        <f>D.SISWA!B12</f>
        <v>242501006</v>
      </c>
      <c r="C12" s="214" t="str">
        <f>D.SISWA!C12</f>
        <v>SARAH ANGGI APIKA Z</v>
      </c>
      <c r="D12" s="214" t="str">
        <f>D.SISWA!D12</f>
        <v>XI ACP</v>
      </c>
    </row>
    <row r="13" spans="1:14" x14ac:dyDescent="0.35">
      <c r="A13" s="246">
        <f>D.SISWA!A13</f>
        <v>8</v>
      </c>
      <c r="B13" s="214">
        <f>D.SISWA!B13</f>
        <v>242501007</v>
      </c>
      <c r="C13" s="214" t="str">
        <f>D.SISWA!C13</f>
        <v>REINHART IMANUEL ARITONANG</v>
      </c>
      <c r="D13" s="214" t="str">
        <f>D.SISWA!D13</f>
        <v>XI ACP</v>
      </c>
    </row>
    <row r="14" spans="1:14" x14ac:dyDescent="0.35">
      <c r="A14" s="246">
        <f>D.SISWA!A14</f>
        <v>9</v>
      </c>
      <c r="B14" s="214">
        <f>D.SISWA!B14</f>
        <v>242501008</v>
      </c>
      <c r="C14" s="214" t="str">
        <f>D.SISWA!C14</f>
        <v>RIVQI WILIAWAN</v>
      </c>
      <c r="D14" s="214" t="str">
        <f>D.SISWA!D14</f>
        <v>XI ACP</v>
      </c>
    </row>
    <row r="15" spans="1:14" x14ac:dyDescent="0.35">
      <c r="A15" s="246">
        <f>D.SISWA!A15</f>
        <v>10</v>
      </c>
      <c r="B15" s="214">
        <f>D.SISWA!B15</f>
        <v>242502116</v>
      </c>
      <c r="C15" s="214" t="str">
        <f>D.SISWA!C15</f>
        <v>SRI RAHAYU</v>
      </c>
      <c r="D15" s="214" t="str">
        <f>D.SISWA!D15</f>
        <v>XI ACP</v>
      </c>
    </row>
    <row r="16" spans="1:14" x14ac:dyDescent="0.35">
      <c r="A16" s="246">
        <f>D.SISWA!A16</f>
        <v>11</v>
      </c>
      <c r="B16" s="214">
        <f>D.SISWA!B16</f>
        <v>242501009</v>
      </c>
      <c r="C16" s="214" t="str">
        <f>D.SISWA!C16</f>
        <v>ZALZA BYLLA OKTAFEVIYANA</v>
      </c>
      <c r="D16" s="214" t="str">
        <f>D.SISWA!D16</f>
        <v>XI ACP</v>
      </c>
    </row>
    <row r="17" spans="1:4" x14ac:dyDescent="0.35">
      <c r="A17" s="246">
        <f>D.SISWA!A17</f>
        <v>12</v>
      </c>
      <c r="B17" s="214">
        <f>D.SISWA!B17</f>
        <v>242501010</v>
      </c>
      <c r="C17" s="214" t="str">
        <f>D.SISWA!C17</f>
        <v>ABDUL EPAN</v>
      </c>
      <c r="D17" s="214" t="str">
        <f>D.SISWA!D17</f>
        <v>XI RPL</v>
      </c>
    </row>
    <row r="18" spans="1:4" x14ac:dyDescent="0.35">
      <c r="A18" s="246">
        <f>D.SISWA!A18</f>
        <v>13</v>
      </c>
      <c r="B18" s="214">
        <f>D.SISWA!B18</f>
        <v>242501011</v>
      </c>
      <c r="C18" s="214" t="str">
        <f>D.SISWA!C18</f>
        <v>ALI SATRIYA BAYU</v>
      </c>
      <c r="D18" s="214" t="str">
        <f>D.SISWA!D18</f>
        <v>XI RPL</v>
      </c>
    </row>
    <row r="19" spans="1:4" x14ac:dyDescent="0.35">
      <c r="A19" s="246">
        <f>D.SISWA!A19</f>
        <v>14</v>
      </c>
      <c r="B19" s="214">
        <f>D.SISWA!B19</f>
        <v>242501012</v>
      </c>
      <c r="C19" s="214" t="str">
        <f>D.SISWA!C19</f>
        <v>DAVIN ARYA PUTRA</v>
      </c>
      <c r="D19" s="214" t="str">
        <f>D.SISWA!D19</f>
        <v>XI RPL</v>
      </c>
    </row>
    <row r="20" spans="1:4" x14ac:dyDescent="0.35">
      <c r="A20" s="246">
        <f>D.SISWA!A20</f>
        <v>15</v>
      </c>
      <c r="B20" s="214">
        <f>D.SISWA!B20</f>
        <v>242501013</v>
      </c>
      <c r="C20" s="214" t="str">
        <f>D.SISWA!C20</f>
        <v>DEVANA APRILIYANO ALAMSYAH</v>
      </c>
      <c r="D20" s="214" t="str">
        <f>D.SISWA!D20</f>
        <v>XI RPL</v>
      </c>
    </row>
    <row r="21" spans="1:4" x14ac:dyDescent="0.35">
      <c r="A21" s="246">
        <f>D.SISWA!A21</f>
        <v>16</v>
      </c>
      <c r="B21" s="214">
        <f>D.SISWA!B21</f>
        <v>242501014</v>
      </c>
      <c r="C21" s="214" t="str">
        <f>D.SISWA!C21</f>
        <v>EVANDRA NOER AREZKY</v>
      </c>
      <c r="D21" s="214" t="str">
        <f>D.SISWA!D21</f>
        <v>XI RPL</v>
      </c>
    </row>
    <row r="22" spans="1:4" x14ac:dyDescent="0.35">
      <c r="A22" s="246">
        <f>D.SISWA!A22</f>
        <v>17</v>
      </c>
      <c r="B22" s="214">
        <f>D.SISWA!B22</f>
        <v>242501015</v>
      </c>
      <c r="C22" s="214" t="str">
        <f>D.SISWA!C22</f>
        <v>EZAR RADITYA GUNAWAN</v>
      </c>
      <c r="D22" s="214" t="str">
        <f>D.SISWA!D22</f>
        <v>XI RPL</v>
      </c>
    </row>
    <row r="23" spans="1:4" x14ac:dyDescent="0.35">
      <c r="A23" s="246">
        <f>D.SISWA!A23</f>
        <v>18</v>
      </c>
      <c r="B23" s="214">
        <f>D.SISWA!B23</f>
        <v>242501016</v>
      </c>
      <c r="C23" s="214" t="str">
        <f>D.SISWA!C23</f>
        <v>FAHMI ABDULRAHMAN</v>
      </c>
      <c r="D23" s="214" t="str">
        <f>D.SISWA!D23</f>
        <v>XI RPL</v>
      </c>
    </row>
    <row r="24" spans="1:4" x14ac:dyDescent="0.35">
      <c r="A24" s="246">
        <f>D.SISWA!A24</f>
        <v>19</v>
      </c>
      <c r="B24" s="214">
        <f>D.SISWA!B24</f>
        <v>242501017</v>
      </c>
      <c r="C24" s="214" t="str">
        <f>D.SISWA!C24</f>
        <v>FARIZ ALBA</v>
      </c>
      <c r="D24" s="214" t="str">
        <f>D.SISWA!D24</f>
        <v>XI RPL</v>
      </c>
    </row>
    <row r="25" spans="1:4" x14ac:dyDescent="0.35">
      <c r="A25" s="246">
        <f>D.SISWA!A25</f>
        <v>20</v>
      </c>
      <c r="B25" s="214">
        <f>D.SISWA!B25</f>
        <v>242501018</v>
      </c>
      <c r="C25" s="214" t="str">
        <f>D.SISWA!C25</f>
        <v>GIA ANANDA SAFITRI</v>
      </c>
      <c r="D25" s="214" t="str">
        <f>D.SISWA!D25</f>
        <v>XI RPL</v>
      </c>
    </row>
    <row r="26" spans="1:4" x14ac:dyDescent="0.35">
      <c r="A26" s="246">
        <f>D.SISWA!A26</f>
        <v>21</v>
      </c>
      <c r="B26" s="214">
        <f>D.SISWA!B26</f>
        <v>242501019</v>
      </c>
      <c r="C26" s="214" t="str">
        <f>D.SISWA!C26</f>
        <v>HAIKAL BUDIANSYAH</v>
      </c>
      <c r="D26" s="214" t="str">
        <f>D.SISWA!D26</f>
        <v>XI RPL</v>
      </c>
    </row>
    <row r="27" spans="1:4" x14ac:dyDescent="0.35">
      <c r="A27" s="246">
        <f>D.SISWA!A27</f>
        <v>22</v>
      </c>
      <c r="B27" s="214">
        <f>D.SISWA!B27</f>
        <v>242501020</v>
      </c>
      <c r="C27" s="214" t="str">
        <f>D.SISWA!C27</f>
        <v>INDRI ANGGRAENI</v>
      </c>
      <c r="D27" s="214" t="str">
        <f>D.SISWA!D27</f>
        <v>XI RPL</v>
      </c>
    </row>
    <row r="28" spans="1:4" x14ac:dyDescent="0.35">
      <c r="A28" s="246">
        <f>D.SISWA!A28</f>
        <v>23</v>
      </c>
      <c r="B28" s="214">
        <f>D.SISWA!B28</f>
        <v>242501021</v>
      </c>
      <c r="C28" s="214" t="str">
        <f>D.SISWA!C28</f>
        <v>INDRIYANI FITRIYASARI</v>
      </c>
      <c r="D28" s="214" t="str">
        <f>D.SISWA!D28</f>
        <v>XI RPL</v>
      </c>
    </row>
    <row r="29" spans="1:4" x14ac:dyDescent="0.35">
      <c r="A29" s="246">
        <f>D.SISWA!A29</f>
        <v>24</v>
      </c>
      <c r="B29" s="214">
        <f>D.SISWA!B29</f>
        <v>242501022</v>
      </c>
      <c r="C29" s="214" t="str">
        <f>D.SISWA!C29</f>
        <v>JANPETER SEBASTIAN PANDIANGAN</v>
      </c>
      <c r="D29" s="214" t="str">
        <f>D.SISWA!D29</f>
        <v>XI RPL</v>
      </c>
    </row>
    <row r="30" spans="1:4" x14ac:dyDescent="0.35">
      <c r="A30" s="246">
        <f>D.SISWA!A30</f>
        <v>25</v>
      </c>
      <c r="B30" s="214">
        <f>D.SISWA!B30</f>
        <v>242501023</v>
      </c>
      <c r="C30" s="214" t="str">
        <f>D.SISWA!C30</f>
        <v>KAYLA VEBRIYANA</v>
      </c>
      <c r="D30" s="214" t="str">
        <f>D.SISWA!D30</f>
        <v>XI RPL</v>
      </c>
    </row>
    <row r="31" spans="1:4" x14ac:dyDescent="0.35">
      <c r="A31" s="246">
        <f>D.SISWA!A31</f>
        <v>26</v>
      </c>
      <c r="B31" s="214">
        <f>D.SISWA!B31</f>
        <v>242501024</v>
      </c>
      <c r="C31" s="214" t="str">
        <f>D.SISWA!C31</f>
        <v>KHAYYIRA HANIFA AZ-ZAHRA</v>
      </c>
      <c r="D31" s="214" t="str">
        <f>D.SISWA!D31</f>
        <v>XI RPL</v>
      </c>
    </row>
    <row r="32" spans="1:4" x14ac:dyDescent="0.35">
      <c r="A32" s="246">
        <f>D.SISWA!A32</f>
        <v>27</v>
      </c>
      <c r="B32" s="214">
        <f>D.SISWA!B32</f>
        <v>242501026</v>
      </c>
      <c r="C32" s="214" t="str">
        <f>D.SISWA!C32</f>
        <v>M. RUSTANDI</v>
      </c>
      <c r="D32" s="214" t="str">
        <f>D.SISWA!D32</f>
        <v>XI RPL</v>
      </c>
    </row>
    <row r="33" spans="1:4" x14ac:dyDescent="0.35">
      <c r="A33" s="246">
        <f>D.SISWA!A33</f>
        <v>28</v>
      </c>
      <c r="B33" s="214">
        <f>D.SISWA!B33</f>
        <v>242501027</v>
      </c>
      <c r="C33" s="214" t="str">
        <f>D.SISWA!C33</f>
        <v>MARISA</v>
      </c>
      <c r="D33" s="214" t="str">
        <f>D.SISWA!D33</f>
        <v>XI RPL</v>
      </c>
    </row>
    <row r="34" spans="1:4" x14ac:dyDescent="0.35">
      <c r="A34" s="246">
        <f>D.SISWA!A34</f>
        <v>29</v>
      </c>
      <c r="B34" s="214">
        <f>D.SISWA!B34</f>
        <v>242501028</v>
      </c>
      <c r="C34" s="214" t="str">
        <f>D.SISWA!C34</f>
        <v>MOCH PAISAL LUTHFI</v>
      </c>
      <c r="D34" s="214" t="str">
        <f>D.SISWA!D34</f>
        <v>XI RPL</v>
      </c>
    </row>
    <row r="35" spans="1:4" x14ac:dyDescent="0.35">
      <c r="A35" s="246">
        <f>D.SISWA!A35</f>
        <v>30</v>
      </c>
      <c r="B35" s="214">
        <f>D.SISWA!B35</f>
        <v>242501030</v>
      </c>
      <c r="C35" s="214" t="str">
        <f>D.SISWA!C35</f>
        <v>MUHAMAD LUGI ALPARIZI</v>
      </c>
      <c r="D35" s="214" t="str">
        <f>D.SISWA!D35</f>
        <v>XI RPL</v>
      </c>
    </row>
    <row r="36" spans="1:4" x14ac:dyDescent="0.35">
      <c r="A36" s="246">
        <f>D.SISWA!A36</f>
        <v>31</v>
      </c>
      <c r="B36" s="214">
        <f>D.SISWA!B36</f>
        <v>242501031</v>
      </c>
      <c r="C36" s="214" t="str">
        <f>D.SISWA!C36</f>
        <v>MUHAMMAD BILAL ALHABSY</v>
      </c>
      <c r="D36" s="214" t="str">
        <f>D.SISWA!D36</f>
        <v>XI RPL</v>
      </c>
    </row>
    <row r="37" spans="1:4" x14ac:dyDescent="0.35">
      <c r="A37" s="246">
        <f>D.SISWA!A37</f>
        <v>32</v>
      </c>
      <c r="B37" s="214">
        <f>D.SISWA!B37</f>
        <v>242501032</v>
      </c>
      <c r="C37" s="214" t="str">
        <f>D.SISWA!C37</f>
        <v>NISEU BIL HASNA</v>
      </c>
      <c r="D37" s="214" t="str">
        <f>D.SISWA!D37</f>
        <v>XI RPL</v>
      </c>
    </row>
    <row r="38" spans="1:4" x14ac:dyDescent="0.35">
      <c r="A38" s="246">
        <f>D.SISWA!A38</f>
        <v>33</v>
      </c>
      <c r="B38" s="214">
        <f>D.SISWA!B38</f>
        <v>242501033</v>
      </c>
      <c r="C38" s="214" t="str">
        <f>D.SISWA!C38</f>
        <v>NOVA NOPIANA</v>
      </c>
      <c r="D38" s="214" t="str">
        <f>D.SISWA!D38</f>
        <v>XI RPL</v>
      </c>
    </row>
    <row r="39" spans="1:4" x14ac:dyDescent="0.35">
      <c r="A39" s="246">
        <f>D.SISWA!A39</f>
        <v>34</v>
      </c>
      <c r="B39" s="214">
        <f>D.SISWA!B39</f>
        <v>242501034</v>
      </c>
      <c r="C39" s="214" t="str">
        <f>D.SISWA!C39</f>
        <v>NOVI NOPIANI</v>
      </c>
      <c r="D39" s="214" t="str">
        <f>D.SISWA!D39</f>
        <v>XI RPL</v>
      </c>
    </row>
    <row r="40" spans="1:4" x14ac:dyDescent="0.35">
      <c r="A40" s="246">
        <f>D.SISWA!A40</f>
        <v>35</v>
      </c>
      <c r="B40" s="214">
        <f>D.SISWA!B40</f>
        <v>242501035</v>
      </c>
      <c r="C40" s="214" t="str">
        <f>D.SISWA!C40</f>
        <v>NUR AZIZAH</v>
      </c>
      <c r="D40" s="214" t="str">
        <f>D.SISWA!D40</f>
        <v>XI RPL</v>
      </c>
    </row>
    <row r="41" spans="1:4" x14ac:dyDescent="0.35">
      <c r="A41" s="246">
        <f>D.SISWA!A41</f>
        <v>36</v>
      </c>
      <c r="B41" s="214">
        <f>D.SISWA!B41</f>
        <v>242501036</v>
      </c>
      <c r="C41" s="214" t="str">
        <f>D.SISWA!C41</f>
        <v>NUR FADHILAH</v>
      </c>
      <c r="D41" s="214" t="str">
        <f>D.SISWA!D41</f>
        <v>XI RPL</v>
      </c>
    </row>
    <row r="42" spans="1:4" x14ac:dyDescent="0.35">
      <c r="A42" s="246">
        <f>D.SISWA!A42</f>
        <v>37</v>
      </c>
      <c r="B42" s="214">
        <f>D.SISWA!B42</f>
        <v>242501038</v>
      </c>
      <c r="C42" s="214" t="str">
        <f>D.SISWA!C42</f>
        <v>RANGGA PRATAMA</v>
      </c>
      <c r="D42" s="214" t="str">
        <f>D.SISWA!D42</f>
        <v>XI RPL</v>
      </c>
    </row>
    <row r="43" spans="1:4" x14ac:dyDescent="0.35">
      <c r="A43" s="246">
        <f>D.SISWA!A43</f>
        <v>38</v>
      </c>
      <c r="B43" s="214">
        <f>D.SISWA!B43</f>
        <v>242501039</v>
      </c>
      <c r="C43" s="214" t="str">
        <f>D.SISWA!C43</f>
        <v>RAKA CANDRA FADILAH</v>
      </c>
      <c r="D43" s="214" t="str">
        <f>D.SISWA!D43</f>
        <v>XI RPL</v>
      </c>
    </row>
    <row r="44" spans="1:4" x14ac:dyDescent="0.35">
      <c r="A44" s="246">
        <f>D.SISWA!A44</f>
        <v>39</v>
      </c>
      <c r="B44" s="214">
        <f>D.SISWA!B44</f>
        <v>242501040</v>
      </c>
      <c r="C44" s="214" t="str">
        <f>D.SISWA!C44</f>
        <v>RINA APRILIANI</v>
      </c>
      <c r="D44" s="214" t="str">
        <f>D.SISWA!D44</f>
        <v>XI RPL</v>
      </c>
    </row>
    <row r="45" spans="1:4" x14ac:dyDescent="0.35">
      <c r="A45" s="246">
        <f>D.SISWA!A45</f>
        <v>40</v>
      </c>
      <c r="B45" s="214">
        <f>D.SISWA!B45</f>
        <v>242501041</v>
      </c>
      <c r="C45" s="214" t="str">
        <f>D.SISWA!C45</f>
        <v xml:space="preserve">SALMAA FAUZIYAH </v>
      </c>
      <c r="D45" s="214" t="str">
        <f>D.SISWA!D45</f>
        <v>XI RPL</v>
      </c>
    </row>
    <row r="46" spans="1:4" x14ac:dyDescent="0.35">
      <c r="A46" s="246">
        <f>D.SISWA!A46</f>
        <v>41</v>
      </c>
      <c r="B46" s="214">
        <f>D.SISWA!B46</f>
        <v>242501042</v>
      </c>
      <c r="C46" s="214" t="str">
        <f>D.SISWA!C46</f>
        <v>SRI RESTI RAMDAN</v>
      </c>
      <c r="D46" s="214" t="str">
        <f>D.SISWA!D46</f>
        <v>XI RPL</v>
      </c>
    </row>
    <row r="47" spans="1:4" x14ac:dyDescent="0.35">
      <c r="A47" s="246">
        <f>D.SISWA!A47</f>
        <v>42</v>
      </c>
      <c r="B47" s="214">
        <f>D.SISWA!B47</f>
        <v>242501043</v>
      </c>
      <c r="C47" s="214" t="str">
        <f>D.SISWA!C47</f>
        <v>TRIA KARTIKA ANUGRAH</v>
      </c>
      <c r="D47" s="214" t="str">
        <f>D.SISWA!D47</f>
        <v>XI RPL</v>
      </c>
    </row>
    <row r="48" spans="1:4" x14ac:dyDescent="0.35">
      <c r="A48" s="246">
        <f>D.SISWA!A48</f>
        <v>43</v>
      </c>
      <c r="B48" s="214">
        <f>D.SISWA!B48</f>
        <v>242501044</v>
      </c>
      <c r="C48" s="214" t="str">
        <f>D.SISWA!C48</f>
        <v>UMAR</v>
      </c>
      <c r="D48" s="214" t="str">
        <f>D.SISWA!D48</f>
        <v>XI RPL</v>
      </c>
    </row>
    <row r="49" spans="1:12" x14ac:dyDescent="0.35">
      <c r="A49" s="246">
        <f>D.SISWA!A49</f>
        <v>44</v>
      </c>
      <c r="B49" s="214">
        <f>D.SISWA!B49</f>
        <v>242501045</v>
      </c>
      <c r="C49" s="214" t="str">
        <f>D.SISWA!C49</f>
        <v>VIKA NOPRITA AYUDIA RANI</v>
      </c>
      <c r="D49" s="214" t="str">
        <f>D.SISWA!D49</f>
        <v>XI RPL</v>
      </c>
    </row>
    <row r="50" spans="1:12" x14ac:dyDescent="0.35">
      <c r="A50" s="246">
        <f>D.SISWA!A50</f>
        <v>45</v>
      </c>
      <c r="B50" s="214">
        <f>D.SISWA!B50</f>
        <v>242501046</v>
      </c>
      <c r="C50" s="214" t="str">
        <f>D.SISWA!C50</f>
        <v>WIDYA IDAMATULSILMI</v>
      </c>
      <c r="D50" s="214" t="str">
        <f>D.SISWA!D50</f>
        <v>XI RPL</v>
      </c>
    </row>
    <row r="51" spans="1:12" x14ac:dyDescent="0.35">
      <c r="A51" s="246">
        <f>D.SISWA!A51</f>
        <v>46</v>
      </c>
      <c r="B51" s="214">
        <f>D.SISWA!B51</f>
        <v>232401001</v>
      </c>
      <c r="C51" s="214" t="str">
        <f>D.SISWA!C51</f>
        <v>ALGAM RISGI SUGIRMAN</v>
      </c>
      <c r="D51" s="214" t="str">
        <f>D.SISWA!D51</f>
        <v>XII ACP</v>
      </c>
      <c r="J51" s="288">
        <v>82</v>
      </c>
      <c r="K51" s="288">
        <v>85</v>
      </c>
      <c r="L51" s="288">
        <v>82</v>
      </c>
    </row>
    <row r="52" spans="1:12" x14ac:dyDescent="0.35">
      <c r="A52" s="246">
        <f>D.SISWA!A52</f>
        <v>47</v>
      </c>
      <c r="B52" s="214">
        <f>D.SISWA!B52</f>
        <v>232401002</v>
      </c>
      <c r="C52" s="214" t="str">
        <f>D.SISWA!C52</f>
        <v>CIKAL PUTRA SUBRANI</v>
      </c>
      <c r="D52" s="214" t="str">
        <f>D.SISWA!D52</f>
        <v>XII ACP</v>
      </c>
      <c r="J52" s="288">
        <v>83</v>
      </c>
      <c r="K52" s="288">
        <v>84</v>
      </c>
      <c r="L52" s="288">
        <v>83</v>
      </c>
    </row>
    <row r="53" spans="1:12" x14ac:dyDescent="0.35">
      <c r="A53" s="246">
        <f>D.SISWA!A53</f>
        <v>48</v>
      </c>
      <c r="B53" s="214">
        <f>D.SISWA!B53</f>
        <v>232401003</v>
      </c>
      <c r="C53" s="214" t="str">
        <f>D.SISWA!C53</f>
        <v>DODI ARIL FAUZI</v>
      </c>
      <c r="D53" s="214" t="str">
        <f>D.SISWA!D53</f>
        <v>XII ACP</v>
      </c>
      <c r="J53" s="288">
        <v>86</v>
      </c>
      <c r="K53" s="288">
        <v>86</v>
      </c>
      <c r="L53" s="288">
        <v>86</v>
      </c>
    </row>
    <row r="54" spans="1:12" x14ac:dyDescent="0.35">
      <c r="A54" s="246">
        <f>D.SISWA!A54</f>
        <v>49</v>
      </c>
      <c r="B54" s="214">
        <f>D.SISWA!B54</f>
        <v>232401004</v>
      </c>
      <c r="C54" s="214" t="str">
        <f>D.SISWA!C54</f>
        <v>EKI APRIANSYAH</v>
      </c>
      <c r="D54" s="214" t="str">
        <f>D.SISWA!D54</f>
        <v>XII ACP</v>
      </c>
      <c r="J54" s="288">
        <v>87</v>
      </c>
      <c r="K54" s="288">
        <v>86</v>
      </c>
      <c r="L54" s="288">
        <v>87</v>
      </c>
    </row>
    <row r="55" spans="1:12" x14ac:dyDescent="0.35">
      <c r="A55" s="246">
        <f>D.SISWA!A55</f>
        <v>50</v>
      </c>
      <c r="B55" s="214">
        <f>D.SISWA!B55</f>
        <v>232401005</v>
      </c>
      <c r="C55" s="214" t="str">
        <f>D.SISWA!C55</f>
        <v>ENENG SALSA NABILA</v>
      </c>
      <c r="D55" s="214" t="str">
        <f>D.SISWA!D55</f>
        <v>XII ACP</v>
      </c>
      <c r="J55" s="288">
        <v>81</v>
      </c>
      <c r="K55" s="288">
        <v>83</v>
      </c>
      <c r="L55" s="288">
        <v>81</v>
      </c>
    </row>
    <row r="56" spans="1:12" x14ac:dyDescent="0.35">
      <c r="A56" s="246">
        <f>D.SISWA!A56</f>
        <v>51</v>
      </c>
      <c r="B56" s="214">
        <f>D.SISWA!B56</f>
        <v>232401006</v>
      </c>
      <c r="C56" s="214" t="str">
        <f>D.SISWA!C56</f>
        <v>ERWIN SUHERWAN</v>
      </c>
      <c r="D56" s="214" t="str">
        <f>D.SISWA!D56</f>
        <v>XII ACP</v>
      </c>
      <c r="J56" s="288">
        <v>87</v>
      </c>
      <c r="K56" s="288">
        <v>84</v>
      </c>
      <c r="L56" s="288">
        <v>87</v>
      </c>
    </row>
    <row r="57" spans="1:12" x14ac:dyDescent="0.35">
      <c r="A57" s="246">
        <f>D.SISWA!A57</f>
        <v>52</v>
      </c>
      <c r="B57" s="214">
        <f>D.SISWA!B57</f>
        <v>232401007</v>
      </c>
      <c r="C57" s="214" t="str">
        <f>D.SISWA!C57</f>
        <v>FAUZAN SYA'BAN NUR'ISLAM</v>
      </c>
      <c r="D57" s="214" t="str">
        <f>D.SISWA!D57</f>
        <v>XII ACP</v>
      </c>
      <c r="J57" s="288">
        <v>87</v>
      </c>
      <c r="K57" s="288">
        <v>86</v>
      </c>
      <c r="L57" s="288">
        <v>87</v>
      </c>
    </row>
    <row r="58" spans="1:12" x14ac:dyDescent="0.35">
      <c r="A58" s="246">
        <f>D.SISWA!A58</f>
        <v>53</v>
      </c>
      <c r="B58" s="214">
        <f>D.SISWA!B58</f>
        <v>232401008</v>
      </c>
      <c r="C58" s="214" t="str">
        <f>D.SISWA!C58</f>
        <v>HERMAWAN ANGGARA</v>
      </c>
      <c r="D58" s="214" t="str">
        <f>D.SISWA!D58</f>
        <v>XII ACP</v>
      </c>
      <c r="J58" s="288">
        <v>83</v>
      </c>
      <c r="K58" s="288">
        <v>84</v>
      </c>
      <c r="L58" s="288">
        <v>83</v>
      </c>
    </row>
    <row r="59" spans="1:12" x14ac:dyDescent="0.35">
      <c r="A59" s="246">
        <f>D.SISWA!A59</f>
        <v>54</v>
      </c>
      <c r="B59" s="214">
        <f>D.SISWA!B59</f>
        <v>232401009</v>
      </c>
      <c r="C59" s="214" t="str">
        <f>D.SISWA!C59</f>
        <v>JANNATA TSAMANIYA ARSYISTAWAA</v>
      </c>
      <c r="D59" s="214" t="str">
        <f>D.SISWA!D59</f>
        <v>XII ACP</v>
      </c>
      <c r="J59" s="288">
        <v>84</v>
      </c>
      <c r="K59" s="288">
        <v>88</v>
      </c>
      <c r="L59" s="288">
        <v>84</v>
      </c>
    </row>
    <row r="60" spans="1:12" x14ac:dyDescent="0.35">
      <c r="A60" s="246">
        <f>D.SISWA!A60</f>
        <v>55</v>
      </c>
      <c r="B60" s="214">
        <f>D.SISWA!B60</f>
        <v>232401011</v>
      </c>
      <c r="C60" s="214" t="str">
        <f>D.SISWA!C60</f>
        <v>KAMILANIYA TSAQILA</v>
      </c>
      <c r="D60" s="214" t="str">
        <f>D.SISWA!D60</f>
        <v>XII ACP</v>
      </c>
      <c r="J60" s="288">
        <v>87</v>
      </c>
      <c r="K60" s="288">
        <v>87</v>
      </c>
      <c r="L60" s="288">
        <v>87</v>
      </c>
    </row>
    <row r="61" spans="1:12" x14ac:dyDescent="0.35">
      <c r="A61" s="246">
        <f>D.SISWA!A61</f>
        <v>56</v>
      </c>
      <c r="B61" s="214">
        <f>D.SISWA!B61</f>
        <v>232401012</v>
      </c>
      <c r="C61" s="214" t="str">
        <f>D.SISWA!C61</f>
        <v>KURNIASANDI AUNURRAFIQ</v>
      </c>
      <c r="D61" s="214" t="str">
        <f>D.SISWA!D61</f>
        <v>XII ACP</v>
      </c>
      <c r="J61" s="288">
        <v>85</v>
      </c>
      <c r="K61" s="288">
        <v>88</v>
      </c>
      <c r="L61" s="288">
        <v>85</v>
      </c>
    </row>
    <row r="62" spans="1:12" x14ac:dyDescent="0.35">
      <c r="A62" s="246">
        <f>D.SISWA!A62</f>
        <v>57</v>
      </c>
      <c r="B62" s="214">
        <f>D.SISWA!B62</f>
        <v>232401013</v>
      </c>
      <c r="C62" s="214" t="str">
        <f>D.SISWA!C62</f>
        <v>MIRNA SULASTRI</v>
      </c>
      <c r="D62" s="214" t="str">
        <f>D.SISWA!D62</f>
        <v>XII ACP</v>
      </c>
      <c r="J62" s="288">
        <v>87</v>
      </c>
      <c r="K62" s="288">
        <v>85</v>
      </c>
      <c r="L62" s="288">
        <v>87</v>
      </c>
    </row>
    <row r="63" spans="1:12" x14ac:dyDescent="0.35">
      <c r="A63" s="246">
        <f>D.SISWA!A63</f>
        <v>58</v>
      </c>
      <c r="B63" s="214">
        <f>D.SISWA!B63</f>
        <v>232401014</v>
      </c>
      <c r="C63" s="214" t="str">
        <f>D.SISWA!C63</f>
        <v>NISWAH KAMILAH NUR ALA</v>
      </c>
      <c r="D63" s="214" t="str">
        <f>D.SISWA!D63</f>
        <v>XII ACP</v>
      </c>
      <c r="J63" s="288">
        <v>86</v>
      </c>
      <c r="K63" s="288">
        <v>88</v>
      </c>
      <c r="L63" s="288">
        <v>86</v>
      </c>
    </row>
    <row r="64" spans="1:12" x14ac:dyDescent="0.35">
      <c r="A64" s="246">
        <f>D.SISWA!A64</f>
        <v>59</v>
      </c>
      <c r="B64" s="214">
        <f>D.SISWA!B64</f>
        <v>232401015</v>
      </c>
      <c r="C64" s="214" t="str">
        <f>D.SISWA!C64</f>
        <v>RAMDAN ALWIANSYAH</v>
      </c>
      <c r="D64" s="214" t="str">
        <f>D.SISWA!D64</f>
        <v>XII ACP</v>
      </c>
      <c r="J64" s="288">
        <v>88</v>
      </c>
      <c r="K64" s="288">
        <v>87</v>
      </c>
      <c r="L64" s="288">
        <v>88</v>
      </c>
    </row>
    <row r="65" spans="1:12" x14ac:dyDescent="0.35">
      <c r="A65" s="246">
        <f>D.SISWA!A65</f>
        <v>60</v>
      </c>
      <c r="B65" s="214">
        <f>D.SISWA!B65</f>
        <v>232401016</v>
      </c>
      <c r="C65" s="214" t="str">
        <f>D.SISWA!C65</f>
        <v>REY GUSTIAWAN</v>
      </c>
      <c r="D65" s="214" t="str">
        <f>D.SISWA!D65</f>
        <v>XII ACP</v>
      </c>
      <c r="J65" s="288">
        <v>86</v>
      </c>
      <c r="K65" s="288">
        <v>87</v>
      </c>
      <c r="L65" s="288">
        <v>86</v>
      </c>
    </row>
    <row r="66" spans="1:12" x14ac:dyDescent="0.35">
      <c r="A66" s="246">
        <f>D.SISWA!A66</f>
        <v>61</v>
      </c>
      <c r="B66" s="214">
        <f>D.SISWA!B66</f>
        <v>232401017</v>
      </c>
      <c r="C66" s="214" t="str">
        <f>D.SISWA!C66</f>
        <v>SITI HASANAH</v>
      </c>
      <c r="D66" s="214" t="str">
        <f>D.SISWA!D66</f>
        <v>XII ACP</v>
      </c>
      <c r="J66" s="288">
        <v>85</v>
      </c>
      <c r="K66" s="288">
        <v>85</v>
      </c>
      <c r="L66" s="288">
        <v>85</v>
      </c>
    </row>
    <row r="67" spans="1:12" x14ac:dyDescent="0.35">
      <c r="A67" s="246">
        <f>D.SISWA!A67</f>
        <v>62</v>
      </c>
      <c r="B67" s="214">
        <f>D.SISWA!B67</f>
        <v>232401018</v>
      </c>
      <c r="C67" s="214" t="str">
        <f>D.SISWA!C67</f>
        <v>SURYANA</v>
      </c>
      <c r="D67" s="214" t="str">
        <f>D.SISWA!D67</f>
        <v>XII ACP</v>
      </c>
      <c r="J67" s="288">
        <v>82</v>
      </c>
      <c r="K67" s="288">
        <v>85</v>
      </c>
      <c r="L67" s="288">
        <v>82</v>
      </c>
    </row>
    <row r="68" spans="1:12" x14ac:dyDescent="0.35">
      <c r="A68" s="246">
        <f>D.SISWA!A68</f>
        <v>63</v>
      </c>
      <c r="B68" s="214">
        <f>D.SISWA!B68</f>
        <v>232401019</v>
      </c>
      <c r="C68" s="214" t="str">
        <f>D.SISWA!C68</f>
        <v>TIARA AMANDA PUTRI FATRIANA</v>
      </c>
      <c r="D68" s="214" t="str">
        <f>D.SISWA!D68</f>
        <v>XII ACP</v>
      </c>
      <c r="J68" s="288">
        <v>84</v>
      </c>
      <c r="K68" s="288">
        <v>88</v>
      </c>
      <c r="L68" s="288">
        <v>84</v>
      </c>
    </row>
    <row r="69" spans="1:12" x14ac:dyDescent="0.35">
      <c r="A69" s="246">
        <f>D.SISWA!A69</f>
        <v>64</v>
      </c>
      <c r="B69" s="214">
        <f>D.SISWA!B69</f>
        <v>232401020</v>
      </c>
      <c r="C69" s="214" t="str">
        <f>D.SISWA!C69</f>
        <v>WAHID DICKY NUGROHO</v>
      </c>
      <c r="D69" s="214" t="str">
        <f>D.SISWA!D69</f>
        <v>XII ACP</v>
      </c>
      <c r="J69" s="288">
        <v>86</v>
      </c>
      <c r="K69" s="288">
        <v>84</v>
      </c>
      <c r="L69" s="288">
        <v>86</v>
      </c>
    </row>
    <row r="70" spans="1:12" x14ac:dyDescent="0.35">
      <c r="A70" s="246">
        <f>D.SISWA!A70</f>
        <v>65</v>
      </c>
      <c r="B70" s="214">
        <f>D.SISWA!B70</f>
        <v>232401021</v>
      </c>
      <c r="C70" s="214" t="str">
        <f>D.SISWA!C70</f>
        <v>ABDUL HAKIM</v>
      </c>
      <c r="D70" s="214" t="str">
        <f>D.SISWA!D70</f>
        <v>XII RPL</v>
      </c>
      <c r="J70" s="288">
        <v>88</v>
      </c>
      <c r="K70" s="288">
        <v>88</v>
      </c>
      <c r="L70" s="288">
        <v>88</v>
      </c>
    </row>
    <row r="71" spans="1:12" x14ac:dyDescent="0.35">
      <c r="A71" s="246">
        <f>D.SISWA!A71</f>
        <v>66</v>
      </c>
      <c r="B71" s="214">
        <f>D.SISWA!B71</f>
        <v>232401022</v>
      </c>
      <c r="C71" s="214" t="str">
        <f>D.SISWA!C71</f>
        <v>ADITYA PUTRA NURAHMAN</v>
      </c>
      <c r="D71" s="214" t="str">
        <f>D.SISWA!D71</f>
        <v>XII RPL</v>
      </c>
      <c r="J71" s="288">
        <v>86</v>
      </c>
      <c r="K71" s="288">
        <v>87</v>
      </c>
      <c r="L71" s="288">
        <v>87</v>
      </c>
    </row>
    <row r="72" spans="1:12" x14ac:dyDescent="0.35">
      <c r="A72" s="246">
        <f>D.SISWA!A72</f>
        <v>67</v>
      </c>
      <c r="B72" s="214">
        <f>D.SISWA!B72</f>
        <v>232401023</v>
      </c>
      <c r="C72" s="214" t="str">
        <f>D.SISWA!C72</f>
        <v>ADRIAN BAGUS RAMADANI</v>
      </c>
      <c r="D72" s="214" t="str">
        <f>D.SISWA!D72</f>
        <v>XII RPL</v>
      </c>
      <c r="J72" s="288">
        <v>83</v>
      </c>
      <c r="K72" s="288">
        <v>83</v>
      </c>
      <c r="L72" s="288">
        <v>81</v>
      </c>
    </row>
    <row r="73" spans="1:12" x14ac:dyDescent="0.35">
      <c r="A73" s="246">
        <f>D.SISWA!A73</f>
        <v>68</v>
      </c>
      <c r="B73" s="214">
        <f>D.SISWA!B73</f>
        <v>232401024</v>
      </c>
      <c r="C73" s="214" t="str">
        <f>D.SISWA!C73</f>
        <v>AGIL AL PAUJI</v>
      </c>
      <c r="D73" s="214" t="str">
        <f>D.SISWA!D73</f>
        <v>XII RPL</v>
      </c>
      <c r="J73" s="288">
        <v>82</v>
      </c>
      <c r="K73" s="288">
        <v>83</v>
      </c>
      <c r="L73" s="288">
        <v>81</v>
      </c>
    </row>
    <row r="74" spans="1:12" x14ac:dyDescent="0.35">
      <c r="A74" s="246">
        <f>D.SISWA!A74</f>
        <v>69</v>
      </c>
      <c r="B74" s="214">
        <f>D.SISWA!B74</f>
        <v>232401025</v>
      </c>
      <c r="C74" s="214" t="str">
        <f>D.SISWA!C74</f>
        <v>AGUNAWAN</v>
      </c>
      <c r="D74" s="214" t="str">
        <f>D.SISWA!D74</f>
        <v>XII RPL</v>
      </c>
      <c r="J74" s="288">
        <v>88</v>
      </c>
      <c r="K74" s="288">
        <v>87</v>
      </c>
      <c r="L74" s="288">
        <v>87</v>
      </c>
    </row>
    <row r="75" spans="1:12" x14ac:dyDescent="0.35">
      <c r="A75" s="246">
        <f>D.SISWA!A75</f>
        <v>70</v>
      </c>
      <c r="B75" s="214">
        <f>D.SISWA!B75</f>
        <v>232401026</v>
      </c>
      <c r="C75" s="214" t="str">
        <f>D.SISWA!C75</f>
        <v>ALI AKBAR NUR SUBHKI</v>
      </c>
      <c r="D75" s="214" t="str">
        <f>D.SISWA!D75</f>
        <v>XII RPL</v>
      </c>
      <c r="J75" s="288">
        <v>86</v>
      </c>
      <c r="K75" s="288">
        <v>84</v>
      </c>
      <c r="L75" s="288">
        <v>81</v>
      </c>
    </row>
    <row r="76" spans="1:12" x14ac:dyDescent="0.35">
      <c r="A76" s="246">
        <f>D.SISWA!A76</f>
        <v>71</v>
      </c>
      <c r="B76" s="214">
        <f>D.SISWA!B76</f>
        <v>232401027</v>
      </c>
      <c r="C76" s="214" t="str">
        <f>D.SISWA!C76</f>
        <v>ALMA DEFAULIA MAHARANI</v>
      </c>
      <c r="D76" s="214" t="str">
        <f>D.SISWA!D76</f>
        <v>XII RPL</v>
      </c>
      <c r="J76" s="288">
        <v>88</v>
      </c>
      <c r="K76" s="288">
        <v>87</v>
      </c>
      <c r="L76" s="288">
        <v>87</v>
      </c>
    </row>
    <row r="77" spans="1:12" x14ac:dyDescent="0.35">
      <c r="A77" s="246">
        <f>D.SISWA!A77</f>
        <v>72</v>
      </c>
      <c r="B77" s="214">
        <f>D.SISWA!B77</f>
        <v>232401028</v>
      </c>
      <c r="C77" s="214" t="str">
        <f>D.SISWA!C77</f>
        <v>ARABI RUDINATA</v>
      </c>
      <c r="D77" s="214" t="str">
        <f>D.SISWA!D77</f>
        <v>XII RPL</v>
      </c>
      <c r="J77" s="288">
        <v>87</v>
      </c>
      <c r="K77" s="288">
        <v>87</v>
      </c>
      <c r="L77" s="288">
        <v>87</v>
      </c>
    </row>
    <row r="78" spans="1:12" x14ac:dyDescent="0.35">
      <c r="A78" s="246">
        <f>D.SISWA!A78</f>
        <v>73</v>
      </c>
      <c r="B78" s="214">
        <f>D.SISWA!B78</f>
        <v>232401029</v>
      </c>
      <c r="C78" s="214" t="str">
        <f>D.SISWA!C78</f>
        <v>ARDIANSYAH</v>
      </c>
      <c r="D78" s="214" t="str">
        <f>D.SISWA!D78</f>
        <v>XII RPL</v>
      </c>
      <c r="J78" s="288">
        <v>86</v>
      </c>
      <c r="K78" s="288">
        <v>86</v>
      </c>
      <c r="L78" s="288">
        <v>87</v>
      </c>
    </row>
    <row r="79" spans="1:12" x14ac:dyDescent="0.35">
      <c r="A79" s="246">
        <f>D.SISWA!A79</f>
        <v>74</v>
      </c>
      <c r="B79" s="214">
        <f>D.SISWA!B79</f>
        <v>232401030</v>
      </c>
      <c r="C79" s="214" t="str">
        <f>D.SISWA!C79</f>
        <v>ASTRI LIANTI</v>
      </c>
      <c r="D79" s="214" t="str">
        <f>D.SISWA!D79</f>
        <v>XII RPL</v>
      </c>
      <c r="J79" s="288">
        <v>88</v>
      </c>
      <c r="K79" s="288">
        <v>87</v>
      </c>
      <c r="L79" s="288">
        <v>87</v>
      </c>
    </row>
    <row r="80" spans="1:12" x14ac:dyDescent="0.35">
      <c r="A80" s="246">
        <f>D.SISWA!A80</f>
        <v>75</v>
      </c>
      <c r="B80" s="214">
        <f>D.SISWA!B80</f>
        <v>232401031</v>
      </c>
      <c r="C80" s="214" t="str">
        <f>D.SISWA!C80</f>
        <v>AURA PUTRI RAMADANI</v>
      </c>
      <c r="D80" s="214" t="str">
        <f>D.SISWA!D80</f>
        <v>XII RPL</v>
      </c>
      <c r="J80" s="288">
        <v>88</v>
      </c>
      <c r="K80" s="288">
        <v>87</v>
      </c>
      <c r="L80" s="288">
        <v>87</v>
      </c>
    </row>
    <row r="81" spans="1:12" x14ac:dyDescent="0.35">
      <c r="A81" s="246">
        <f>D.SISWA!A81</f>
        <v>76</v>
      </c>
      <c r="B81" s="214">
        <f>D.SISWA!B81</f>
        <v>232401032</v>
      </c>
      <c r="C81" s="214" t="str">
        <f>D.SISWA!C81</f>
        <v>ERLANGGA WIRADINATA</v>
      </c>
      <c r="D81" s="214" t="str">
        <f>D.SISWA!D81</f>
        <v>XII RPL</v>
      </c>
      <c r="J81" s="288">
        <v>87</v>
      </c>
      <c r="K81" s="288">
        <v>85</v>
      </c>
      <c r="L81" s="288">
        <v>87</v>
      </c>
    </row>
    <row r="82" spans="1:12" x14ac:dyDescent="0.35">
      <c r="A82" s="246">
        <f>D.SISWA!A82</f>
        <v>77</v>
      </c>
      <c r="B82" s="214">
        <f>D.SISWA!B82</f>
        <v>232401033</v>
      </c>
      <c r="C82" s="214" t="str">
        <f>D.SISWA!C82</f>
        <v>IKHSAN ALFANDI PRATAMA</v>
      </c>
      <c r="D82" s="214" t="str">
        <f>D.SISWA!D82</f>
        <v>XII RPL</v>
      </c>
      <c r="J82" s="288">
        <v>86</v>
      </c>
      <c r="K82" s="288">
        <v>87</v>
      </c>
      <c r="L82" s="288">
        <v>84</v>
      </c>
    </row>
    <row r="83" spans="1:12" x14ac:dyDescent="0.35">
      <c r="A83" s="246">
        <f>D.SISWA!A83</f>
        <v>78</v>
      </c>
      <c r="B83" s="214">
        <f>D.SISWA!B83</f>
        <v>232401035</v>
      </c>
      <c r="C83" s="214" t="str">
        <f>D.SISWA!C83</f>
        <v>KIREINA NAZRILA IRAWAN</v>
      </c>
      <c r="D83" s="214" t="str">
        <f>D.SISWA!D83</f>
        <v>XII RPL</v>
      </c>
      <c r="J83" s="288">
        <v>86</v>
      </c>
      <c r="K83" s="288">
        <v>87</v>
      </c>
      <c r="L83" s="288">
        <v>87</v>
      </c>
    </row>
    <row r="84" spans="1:12" x14ac:dyDescent="0.35">
      <c r="A84" s="246">
        <f>D.SISWA!A84</f>
        <v>79</v>
      </c>
      <c r="B84" s="214">
        <f>D.SISWA!B84</f>
        <v>232401036</v>
      </c>
      <c r="C84" s="214" t="str">
        <f>D.SISWA!C84</f>
        <v>MOCH. VIRAS ALGAZALI</v>
      </c>
      <c r="D84" s="214" t="str">
        <f>D.SISWA!D84</f>
        <v>XII RPL</v>
      </c>
      <c r="J84" s="288">
        <v>86</v>
      </c>
      <c r="K84" s="288">
        <v>87</v>
      </c>
      <c r="L84" s="288">
        <v>87</v>
      </c>
    </row>
    <row r="85" spans="1:12" x14ac:dyDescent="0.35">
      <c r="A85" s="246">
        <f>D.SISWA!A85</f>
        <v>80</v>
      </c>
      <c r="B85" s="214">
        <f>D.SISWA!B85</f>
        <v>232401039</v>
      </c>
      <c r="C85" s="214" t="str">
        <f>D.SISWA!C85</f>
        <v>MUHAMAD RIZKI ANDIKA</v>
      </c>
      <c r="D85" s="214" t="str">
        <f>D.SISWA!D85</f>
        <v>XII RPL</v>
      </c>
      <c r="J85" s="288">
        <v>84</v>
      </c>
      <c r="K85" s="288">
        <v>85</v>
      </c>
      <c r="L85" s="288">
        <v>85</v>
      </c>
    </row>
    <row r="86" spans="1:12" x14ac:dyDescent="0.35">
      <c r="A86" s="246">
        <f>D.SISWA!A86</f>
        <v>81</v>
      </c>
      <c r="B86" s="214">
        <f>D.SISWA!B86</f>
        <v>232401040</v>
      </c>
      <c r="C86" s="214" t="str">
        <f>D.SISWA!C86</f>
        <v>MUHAMAD SIDIK</v>
      </c>
      <c r="D86" s="214" t="str">
        <f>D.SISWA!D86</f>
        <v>XII RPL</v>
      </c>
      <c r="J86" s="288">
        <v>86</v>
      </c>
      <c r="K86" s="288">
        <v>87</v>
      </c>
      <c r="L86" s="288">
        <v>87</v>
      </c>
    </row>
    <row r="87" spans="1:12" x14ac:dyDescent="0.35">
      <c r="A87" s="246">
        <f>D.SISWA!A87</f>
        <v>82</v>
      </c>
      <c r="B87" s="214">
        <f>D.SISWA!B87</f>
        <v>232401042</v>
      </c>
      <c r="C87" s="214" t="str">
        <f>D.SISWA!C87</f>
        <v>NAILA NAZWA LATIFA</v>
      </c>
      <c r="D87" s="214" t="str">
        <f>D.SISWA!D87</f>
        <v>XII RPL</v>
      </c>
      <c r="J87" s="288">
        <v>88</v>
      </c>
      <c r="K87" s="288">
        <v>87</v>
      </c>
      <c r="L87" s="288">
        <v>87</v>
      </c>
    </row>
    <row r="88" spans="1:12" x14ac:dyDescent="0.35">
      <c r="A88" s="246">
        <f>D.SISWA!A88</f>
        <v>83</v>
      </c>
      <c r="B88" s="214">
        <f>D.SISWA!B88</f>
        <v>232401043</v>
      </c>
      <c r="C88" s="214" t="str">
        <f>D.SISWA!C88</f>
        <v>NYAI INDAH LESTARI</v>
      </c>
      <c r="D88" s="214" t="str">
        <f>D.SISWA!D88</f>
        <v>XII RPL</v>
      </c>
      <c r="J88" s="288">
        <v>88</v>
      </c>
      <c r="K88" s="288">
        <v>87</v>
      </c>
      <c r="L88" s="288">
        <v>87</v>
      </c>
    </row>
    <row r="89" spans="1:12" x14ac:dyDescent="0.35">
      <c r="A89" s="246">
        <f>D.SISWA!A89</f>
        <v>84</v>
      </c>
      <c r="B89" s="214">
        <f>D.SISWA!B89</f>
        <v>232401044</v>
      </c>
      <c r="C89" s="214" t="str">
        <f>D.SISWA!C89</f>
        <v>RAKA LEANER YACOB BOOM</v>
      </c>
      <c r="D89" s="214" t="str">
        <f>D.SISWA!D89</f>
        <v>XII RPL</v>
      </c>
      <c r="J89" s="288">
        <v>81</v>
      </c>
      <c r="K89" s="288">
        <v>81</v>
      </c>
      <c r="L89" s="288">
        <v>85</v>
      </c>
    </row>
    <row r="90" spans="1:12" x14ac:dyDescent="0.35">
      <c r="A90" s="246">
        <f>D.SISWA!A90</f>
        <v>85</v>
      </c>
      <c r="B90" s="214">
        <f>D.SISWA!B90</f>
        <v>232401045</v>
      </c>
      <c r="C90" s="214" t="str">
        <f>D.SISWA!C90</f>
        <v>RATU CHIKA SRI ASTUTI</v>
      </c>
      <c r="D90" s="214" t="str">
        <f>D.SISWA!D90</f>
        <v>XII RPL</v>
      </c>
      <c r="J90" s="288">
        <v>88</v>
      </c>
      <c r="K90" s="288">
        <v>87</v>
      </c>
      <c r="L90" s="288">
        <v>87</v>
      </c>
    </row>
    <row r="91" spans="1:12" x14ac:dyDescent="0.35">
      <c r="A91" s="246">
        <f>D.SISWA!A91</f>
        <v>86</v>
      </c>
      <c r="B91" s="214">
        <f>D.SISWA!B91</f>
        <v>232401046</v>
      </c>
      <c r="C91" s="214" t="str">
        <f>D.SISWA!C91</f>
        <v>RAYSAD RADANA</v>
      </c>
      <c r="D91" s="214" t="str">
        <f>D.SISWA!D91</f>
        <v>XII RPL</v>
      </c>
      <c r="J91" s="288">
        <v>88</v>
      </c>
      <c r="K91" s="288">
        <v>87</v>
      </c>
      <c r="L91" s="288">
        <v>87</v>
      </c>
    </row>
    <row r="92" spans="1:12" x14ac:dyDescent="0.35">
      <c r="A92" s="246">
        <f>D.SISWA!A92</f>
        <v>87</v>
      </c>
      <c r="B92" s="214">
        <f>D.SISWA!B92</f>
        <v>232401047</v>
      </c>
      <c r="C92" s="214" t="str">
        <f>D.SISWA!C92</f>
        <v>REHAN RAMADAN</v>
      </c>
      <c r="D92" s="214" t="str">
        <f>D.SISWA!D92</f>
        <v>XII RPL</v>
      </c>
      <c r="J92" s="288">
        <v>88</v>
      </c>
      <c r="K92" s="288">
        <v>87</v>
      </c>
      <c r="L92" s="288">
        <v>87</v>
      </c>
    </row>
    <row r="93" spans="1:12" x14ac:dyDescent="0.35">
      <c r="A93" s="246">
        <f>D.SISWA!A93</f>
        <v>88</v>
      </c>
      <c r="B93" s="214">
        <f>D.SISWA!B93</f>
        <v>232401048</v>
      </c>
      <c r="C93" s="214" t="str">
        <f>D.SISWA!C93</f>
        <v>RENDI MAULANA</v>
      </c>
      <c r="D93" s="214" t="str">
        <f>D.SISWA!D93</f>
        <v>XII RPL</v>
      </c>
      <c r="J93" s="288">
        <v>83</v>
      </c>
      <c r="K93" s="288">
        <v>84</v>
      </c>
      <c r="L93" s="288">
        <v>84</v>
      </c>
    </row>
    <row r="94" spans="1:12" x14ac:dyDescent="0.35">
      <c r="A94" s="246">
        <f>D.SISWA!A94</f>
        <v>89</v>
      </c>
      <c r="B94" s="214">
        <f>D.SISWA!B94</f>
        <v>232401049</v>
      </c>
      <c r="C94" s="214" t="str">
        <f>D.SISWA!C94</f>
        <v>RESTA SEPTIANI</v>
      </c>
      <c r="D94" s="214" t="str">
        <f>D.SISWA!D94</f>
        <v>XII RPL</v>
      </c>
      <c r="J94" s="288">
        <v>88</v>
      </c>
      <c r="K94" s="288">
        <v>87</v>
      </c>
      <c r="L94" s="288">
        <v>87</v>
      </c>
    </row>
    <row r="95" spans="1:12" x14ac:dyDescent="0.35">
      <c r="A95" s="246">
        <f>D.SISWA!A95</f>
        <v>90</v>
      </c>
      <c r="B95" s="214">
        <f>D.SISWA!B95</f>
        <v>232401050</v>
      </c>
      <c r="C95" s="214" t="str">
        <f>D.SISWA!C95</f>
        <v>RIAN SAPUTRA</v>
      </c>
      <c r="D95" s="214" t="str">
        <f>D.SISWA!D95</f>
        <v>XII RPL</v>
      </c>
      <c r="J95" s="288">
        <v>85</v>
      </c>
      <c r="K95" s="288">
        <v>87</v>
      </c>
      <c r="L95" s="288">
        <v>87</v>
      </c>
    </row>
    <row r="96" spans="1:12" x14ac:dyDescent="0.35">
      <c r="A96" s="246">
        <f>D.SISWA!A96</f>
        <v>91</v>
      </c>
      <c r="B96" s="214">
        <f>D.SISWA!B96</f>
        <v>232401052</v>
      </c>
      <c r="C96" s="214" t="str">
        <f>D.SISWA!C96</f>
        <v>SAHILMI</v>
      </c>
      <c r="D96" s="214" t="str">
        <f>D.SISWA!D96</f>
        <v>XII RPL</v>
      </c>
      <c r="J96" s="288">
        <v>88</v>
      </c>
      <c r="K96" s="288">
        <v>87</v>
      </c>
      <c r="L96" s="288">
        <v>87</v>
      </c>
    </row>
    <row r="97" spans="1:12" x14ac:dyDescent="0.35">
      <c r="A97" s="246">
        <f>D.SISWA!A97</f>
        <v>92</v>
      </c>
      <c r="B97" s="214">
        <f>D.SISWA!B97</f>
        <v>232401053</v>
      </c>
      <c r="C97" s="214" t="str">
        <f>D.SISWA!C97</f>
        <v>SATRIA NUGRAHA TRI WIGUNA</v>
      </c>
      <c r="D97" s="214" t="str">
        <f>D.SISWA!D97</f>
        <v>XII RPL</v>
      </c>
      <c r="J97" s="288">
        <v>89</v>
      </c>
      <c r="K97" s="288">
        <v>87</v>
      </c>
      <c r="L97" s="288">
        <v>86</v>
      </c>
    </row>
    <row r="98" spans="1:12" x14ac:dyDescent="0.35">
      <c r="A98" s="246">
        <f>D.SISWA!A98</f>
        <v>93</v>
      </c>
      <c r="B98" s="214">
        <f>D.SISWA!B98</f>
        <v>232401054</v>
      </c>
      <c r="C98" s="214" t="str">
        <f>D.SISWA!C98</f>
        <v>VIRZY PRATAMA</v>
      </c>
      <c r="D98" s="214" t="str">
        <f>D.SISWA!D98</f>
        <v>XII RPL</v>
      </c>
      <c r="J98" s="288">
        <v>89</v>
      </c>
      <c r="K98" s="288">
        <v>87</v>
      </c>
      <c r="L98" s="288">
        <v>88</v>
      </c>
    </row>
    <row r="99" spans="1:12" x14ac:dyDescent="0.35">
      <c r="A99" s="246">
        <f>D.SISWA!A99</f>
        <v>0</v>
      </c>
      <c r="B99" s="214">
        <f>D.SISWA!B99</f>
        <v>0</v>
      </c>
      <c r="C99" s="214" t="str">
        <f>D.SISWA!C99</f>
        <v>ALDIANSAH</v>
      </c>
      <c r="D99" s="214" t="str">
        <f>D.SISWA!D99</f>
        <v>X ACP</v>
      </c>
    </row>
    <row r="100" spans="1:12" x14ac:dyDescent="0.35">
      <c r="A100" s="246">
        <f>D.SISWA!A100</f>
        <v>0</v>
      </c>
      <c r="B100" s="214">
        <f>D.SISWA!B100</f>
        <v>0</v>
      </c>
      <c r="C100" s="214" t="str">
        <f>D.SISWA!C100</f>
        <v>ALIEF SANJANI</v>
      </c>
      <c r="D100" s="214" t="str">
        <f>D.SISWA!D100</f>
        <v>X ACP</v>
      </c>
    </row>
    <row r="101" spans="1:12" x14ac:dyDescent="0.35">
      <c r="A101" s="246">
        <f>D.SISWA!A101</f>
        <v>0</v>
      </c>
      <c r="B101" s="214">
        <f>D.SISWA!B101</f>
        <v>0</v>
      </c>
      <c r="C101" s="214" t="str">
        <f>D.SISWA!C101</f>
        <v xml:space="preserve">CANZA YUDIA MULYA </v>
      </c>
      <c r="D101" s="214" t="str">
        <f>D.SISWA!D101</f>
        <v>X ACP</v>
      </c>
    </row>
    <row r="102" spans="1:12" x14ac:dyDescent="0.35">
      <c r="A102" s="246">
        <f>D.SISWA!A102</f>
        <v>0</v>
      </c>
      <c r="B102" s="214">
        <f>D.SISWA!B102</f>
        <v>0</v>
      </c>
      <c r="C102" s="214" t="str">
        <f>D.SISWA!C102</f>
        <v>DEFIN PRASETYA</v>
      </c>
      <c r="D102" s="214" t="str">
        <f>D.SISWA!D102</f>
        <v>X ACP</v>
      </c>
    </row>
    <row r="103" spans="1:12" x14ac:dyDescent="0.35">
      <c r="A103" s="246">
        <f>D.SISWA!A103</f>
        <v>0</v>
      </c>
      <c r="B103" s="214">
        <f>D.SISWA!B103</f>
        <v>0</v>
      </c>
      <c r="C103" s="214" t="str">
        <f>D.SISWA!C103</f>
        <v>FIKRI FAHRIANSAH</v>
      </c>
      <c r="D103" s="214" t="str">
        <f>D.SISWA!D103</f>
        <v>X ACP</v>
      </c>
    </row>
    <row r="104" spans="1:12" x14ac:dyDescent="0.35">
      <c r="A104" s="246">
        <f>D.SISWA!A104</f>
        <v>0</v>
      </c>
      <c r="B104" s="214">
        <f>D.SISWA!B104</f>
        <v>0</v>
      </c>
      <c r="C104" s="214" t="str">
        <f>D.SISWA!C104</f>
        <v>JISVI DWI ANDREANS</v>
      </c>
      <c r="D104" s="214" t="str">
        <f>D.SISWA!D104</f>
        <v>X ACP</v>
      </c>
    </row>
    <row r="105" spans="1:12" x14ac:dyDescent="0.35">
      <c r="A105" s="246">
        <f>D.SISWA!A105</f>
        <v>0</v>
      </c>
      <c r="B105" s="214">
        <f>D.SISWA!B105</f>
        <v>0</v>
      </c>
      <c r="C105" s="214" t="str">
        <f>D.SISWA!C105</f>
        <v>KENZI REYNALDI</v>
      </c>
      <c r="D105" s="214" t="str">
        <f>D.SISWA!D105</f>
        <v>X ACP</v>
      </c>
    </row>
    <row r="106" spans="1:12" x14ac:dyDescent="0.35">
      <c r="A106" s="246">
        <f>D.SISWA!A106</f>
        <v>0</v>
      </c>
      <c r="B106" s="214">
        <f>D.SISWA!B106</f>
        <v>0</v>
      </c>
      <c r="C106" s="214" t="str">
        <f>D.SISWA!C106</f>
        <v>LIANA NARASAKI</v>
      </c>
      <c r="D106" s="214" t="str">
        <f>D.SISWA!D106</f>
        <v>X ACP</v>
      </c>
    </row>
    <row r="107" spans="1:12" x14ac:dyDescent="0.35">
      <c r="A107" s="246">
        <f>D.SISWA!A107</f>
        <v>0</v>
      </c>
      <c r="B107" s="214">
        <f>D.SISWA!B107</f>
        <v>0</v>
      </c>
      <c r="C107" s="214" t="str">
        <f>D.SISWA!C107</f>
        <v>FADIL BAIHAQI</v>
      </c>
      <c r="D107" s="214" t="str">
        <f>D.SISWA!D107</f>
        <v>X ACP</v>
      </c>
    </row>
    <row r="108" spans="1:12" x14ac:dyDescent="0.35">
      <c r="A108" s="246">
        <f>D.SISWA!A108</f>
        <v>0</v>
      </c>
      <c r="B108" s="214">
        <f>D.SISWA!B108</f>
        <v>0</v>
      </c>
      <c r="C108" s="214" t="str">
        <f>D.SISWA!C108</f>
        <v xml:space="preserve">MAULIDA </v>
      </c>
      <c r="D108" s="214" t="str">
        <f>D.SISWA!D108</f>
        <v>X ACP</v>
      </c>
    </row>
    <row r="109" spans="1:12" x14ac:dyDescent="0.35">
      <c r="A109" s="246">
        <f>D.SISWA!A109</f>
        <v>0</v>
      </c>
      <c r="B109" s="214">
        <f>D.SISWA!B109</f>
        <v>0</v>
      </c>
      <c r="C109" s="214" t="str">
        <f>D.SISWA!C109</f>
        <v>MIRAJ AKBAR PA</v>
      </c>
      <c r="D109" s="214" t="str">
        <f>D.SISWA!D109</f>
        <v>X ACP</v>
      </c>
    </row>
    <row r="110" spans="1:12" x14ac:dyDescent="0.35">
      <c r="A110" s="246">
        <f>D.SISWA!A110</f>
        <v>0</v>
      </c>
      <c r="B110" s="214">
        <f>D.SISWA!B110</f>
        <v>0</v>
      </c>
      <c r="C110" s="214" t="str">
        <f>D.SISWA!C110</f>
        <v>MUHAMMAD DAVID</v>
      </c>
      <c r="D110" s="214" t="str">
        <f>D.SISWA!D110</f>
        <v>X ACP</v>
      </c>
    </row>
    <row r="111" spans="1:12" x14ac:dyDescent="0.35">
      <c r="A111" s="246">
        <f>D.SISWA!A111</f>
        <v>0</v>
      </c>
      <c r="B111" s="214">
        <f>D.SISWA!B111</f>
        <v>0</v>
      </c>
      <c r="C111" s="214" t="str">
        <f>D.SISWA!C111</f>
        <v>MUHAMMAD IRPANA</v>
      </c>
      <c r="D111" s="214" t="str">
        <f>D.SISWA!D111</f>
        <v>X ACP</v>
      </c>
    </row>
    <row r="112" spans="1:12" x14ac:dyDescent="0.35">
      <c r="A112" s="246">
        <f>D.SISWA!A112</f>
        <v>0</v>
      </c>
      <c r="B112" s="214">
        <f>D.SISWA!B112</f>
        <v>0</v>
      </c>
      <c r="C112" s="214" t="str">
        <f>D.SISWA!C112</f>
        <v>MUHAMMAD RAFFAEL</v>
      </c>
      <c r="D112" s="214" t="str">
        <f>D.SISWA!D112</f>
        <v>X ACP</v>
      </c>
    </row>
    <row r="113" spans="1:4" x14ac:dyDescent="0.35">
      <c r="A113" s="246">
        <f>D.SISWA!A113</f>
        <v>0</v>
      </c>
      <c r="B113" s="214">
        <f>D.SISWA!B113</f>
        <v>0</v>
      </c>
      <c r="C113" s="214" t="str">
        <f>D.SISWA!C113</f>
        <v xml:space="preserve">NAUVAL KHAIRUL RISMAWAN </v>
      </c>
      <c r="D113" s="214" t="str">
        <f>D.SISWA!D113</f>
        <v>X ACP</v>
      </c>
    </row>
    <row r="114" spans="1:4" x14ac:dyDescent="0.35">
      <c r="A114" s="246">
        <f>D.SISWA!A114</f>
        <v>0</v>
      </c>
      <c r="B114" s="214">
        <f>D.SISWA!B114</f>
        <v>0</v>
      </c>
      <c r="C114" s="214" t="str">
        <f>D.SISWA!C114</f>
        <v xml:space="preserve">NAYLA SALSABILA </v>
      </c>
      <c r="D114" s="214" t="str">
        <f>D.SISWA!D114</f>
        <v>X ACP</v>
      </c>
    </row>
    <row r="115" spans="1:4" x14ac:dyDescent="0.35">
      <c r="A115" s="246">
        <f>D.SISWA!A115</f>
        <v>0</v>
      </c>
      <c r="B115" s="214">
        <f>D.SISWA!B115</f>
        <v>0</v>
      </c>
      <c r="C115" s="214" t="str">
        <f>D.SISWA!C115</f>
        <v>NAZWAH RUBY AKSAYLA MAULANA</v>
      </c>
      <c r="D115" s="214" t="str">
        <f>D.SISWA!D115</f>
        <v>X ACP</v>
      </c>
    </row>
    <row r="116" spans="1:4" x14ac:dyDescent="0.35">
      <c r="A116" s="246">
        <f>D.SISWA!A116</f>
        <v>0</v>
      </c>
      <c r="B116" s="214">
        <f>D.SISWA!B116</f>
        <v>0</v>
      </c>
      <c r="C116" s="214" t="str">
        <f>D.SISWA!C116</f>
        <v>OBI ABI SETIAWAN</v>
      </c>
      <c r="D116" s="214" t="str">
        <f>D.SISWA!D116</f>
        <v>X ACP</v>
      </c>
    </row>
    <row r="117" spans="1:4" x14ac:dyDescent="0.35">
      <c r="A117" s="246">
        <f>D.SISWA!A117</f>
        <v>0</v>
      </c>
      <c r="B117" s="214">
        <f>D.SISWA!B117</f>
        <v>0</v>
      </c>
      <c r="C117" s="214" t="str">
        <f>D.SISWA!C117</f>
        <v>RABBY KARUNIA</v>
      </c>
      <c r="D117" s="214" t="str">
        <f>D.SISWA!D117</f>
        <v>X ACP</v>
      </c>
    </row>
    <row r="118" spans="1:4" x14ac:dyDescent="0.35">
      <c r="A118" s="246">
        <f>D.SISWA!A118</f>
        <v>0</v>
      </c>
      <c r="B118" s="214">
        <f>D.SISWA!B118</f>
        <v>0</v>
      </c>
      <c r="C118" s="214" t="str">
        <f>D.SISWA!C118</f>
        <v xml:space="preserve">RAMA DIAN SAPUTRA </v>
      </c>
      <c r="D118" s="214" t="str">
        <f>D.SISWA!D118</f>
        <v>X ACP</v>
      </c>
    </row>
    <row r="119" spans="1:4" x14ac:dyDescent="0.35">
      <c r="A119" s="246">
        <f>D.SISWA!A119</f>
        <v>0</v>
      </c>
      <c r="B119" s="214">
        <f>D.SISWA!B119</f>
        <v>0</v>
      </c>
      <c r="C119" s="214" t="str">
        <f>D.SISWA!C119</f>
        <v>SYAHRIL ARDIANSYAH</v>
      </c>
      <c r="D119" s="214" t="str">
        <f>D.SISWA!D119</f>
        <v>X ACP</v>
      </c>
    </row>
    <row r="120" spans="1:4" x14ac:dyDescent="0.35">
      <c r="A120" s="246">
        <f>D.SISWA!A120</f>
        <v>0</v>
      </c>
      <c r="B120" s="214">
        <f>D.SISWA!B120</f>
        <v>0</v>
      </c>
      <c r="C120" s="214" t="str">
        <f>D.SISWA!C120</f>
        <v xml:space="preserve">TIARA APRILIA </v>
      </c>
      <c r="D120" s="214" t="str">
        <f>D.SISWA!D120</f>
        <v>X ACP</v>
      </c>
    </row>
    <row r="121" spans="1:4" x14ac:dyDescent="0.35">
      <c r="A121" s="246">
        <f>D.SISWA!A121</f>
        <v>0</v>
      </c>
      <c r="B121" s="214">
        <f>D.SISWA!B121</f>
        <v>0</v>
      </c>
      <c r="C121" s="214" t="str">
        <f>D.SISWA!C121</f>
        <v>ANDHIKA SAPUTRA</v>
      </c>
      <c r="D121" s="214" t="str">
        <f>D.SISWA!D121</f>
        <v>X ACP</v>
      </c>
    </row>
    <row r="122" spans="1:4" x14ac:dyDescent="0.35">
      <c r="A122" s="246">
        <f>D.SISWA!A122</f>
        <v>0</v>
      </c>
      <c r="B122" s="214">
        <f>D.SISWA!B122</f>
        <v>0</v>
      </c>
      <c r="C122" s="214">
        <f>D.SISWA!C122</f>
        <v>0</v>
      </c>
      <c r="D122" s="214">
        <f>D.SISWA!D122</f>
        <v>0</v>
      </c>
    </row>
    <row r="123" spans="1:4" x14ac:dyDescent="0.35">
      <c r="A123" s="246">
        <f>D.SISWA!A123</f>
        <v>0</v>
      </c>
      <c r="B123" s="214">
        <f>D.SISWA!B123</f>
        <v>0</v>
      </c>
      <c r="C123" s="214">
        <f>D.SISWA!C123</f>
        <v>0</v>
      </c>
      <c r="D123" s="214">
        <f>D.SISWA!D123</f>
        <v>0</v>
      </c>
    </row>
    <row r="124" spans="1:4" x14ac:dyDescent="0.35">
      <c r="A124" s="246">
        <f>D.SISWA!A124</f>
        <v>0</v>
      </c>
      <c r="B124" s="214">
        <f>D.SISWA!B124</f>
        <v>0</v>
      </c>
      <c r="C124" s="214">
        <f>D.SISWA!C124</f>
        <v>0</v>
      </c>
      <c r="D124" s="214">
        <f>D.SISWA!D124</f>
        <v>0</v>
      </c>
    </row>
    <row r="125" spans="1:4" x14ac:dyDescent="0.35">
      <c r="A125" s="246">
        <f>D.SISWA!A125</f>
        <v>0</v>
      </c>
      <c r="B125" s="214">
        <f>D.SISWA!B125</f>
        <v>0</v>
      </c>
      <c r="C125" s="214">
        <f>D.SISWA!C125</f>
        <v>0</v>
      </c>
      <c r="D125" s="214">
        <f>D.SISWA!D125</f>
        <v>0</v>
      </c>
    </row>
    <row r="126" spans="1:4" x14ac:dyDescent="0.35">
      <c r="A126" s="246">
        <f>D.SISWA!A126</f>
        <v>0</v>
      </c>
      <c r="B126" s="214">
        <f>D.SISWA!B126</f>
        <v>0</v>
      </c>
      <c r="C126" s="214">
        <f>D.SISWA!C126</f>
        <v>0</v>
      </c>
      <c r="D126" s="214">
        <f>D.SISWA!D126</f>
        <v>0</v>
      </c>
    </row>
    <row r="127" spans="1:4" x14ac:dyDescent="0.35">
      <c r="A127" s="246">
        <f>D.SISWA!A127</f>
        <v>0</v>
      </c>
      <c r="B127" s="214">
        <f>D.SISWA!B127</f>
        <v>0</v>
      </c>
      <c r="C127" s="214">
        <f>D.SISWA!C127</f>
        <v>0</v>
      </c>
      <c r="D127" s="214">
        <f>D.SISWA!D127</f>
        <v>0</v>
      </c>
    </row>
    <row r="128" spans="1:4" x14ac:dyDescent="0.35">
      <c r="A128" s="246">
        <f>D.SISWA!A128</f>
        <v>0</v>
      </c>
      <c r="B128" s="214">
        <f>D.SISWA!B128</f>
        <v>0</v>
      </c>
      <c r="C128" s="214">
        <f>D.SISWA!C128</f>
        <v>0</v>
      </c>
      <c r="D128" s="214">
        <f>D.SISWA!D128</f>
        <v>0</v>
      </c>
    </row>
    <row r="129" spans="1:4" x14ac:dyDescent="0.35">
      <c r="A129" s="246">
        <f>D.SISWA!A129</f>
        <v>0</v>
      </c>
      <c r="B129" s="214">
        <f>D.SISWA!B129</f>
        <v>0</v>
      </c>
      <c r="C129" s="214">
        <f>D.SISWA!C129</f>
        <v>0</v>
      </c>
      <c r="D129" s="214">
        <f>D.SISWA!D129</f>
        <v>0</v>
      </c>
    </row>
    <row r="130" spans="1:4" x14ac:dyDescent="0.35">
      <c r="A130" s="246">
        <f>D.SISWA!A130</f>
        <v>0</v>
      </c>
      <c r="B130" s="214">
        <f>D.SISWA!B130</f>
        <v>0</v>
      </c>
      <c r="C130" s="214">
        <f>D.SISWA!C130</f>
        <v>0</v>
      </c>
      <c r="D130" s="214">
        <f>D.SISWA!D130</f>
        <v>0</v>
      </c>
    </row>
    <row r="131" spans="1:4" x14ac:dyDescent="0.35">
      <c r="A131" s="246">
        <f>D.SISWA!A131</f>
        <v>0</v>
      </c>
      <c r="B131" s="214">
        <f>D.SISWA!B131</f>
        <v>0</v>
      </c>
      <c r="C131" s="214">
        <f>D.SISWA!C131</f>
        <v>0</v>
      </c>
      <c r="D131" s="214">
        <f>D.SISWA!D131</f>
        <v>0</v>
      </c>
    </row>
    <row r="132" spans="1:4" x14ac:dyDescent="0.35">
      <c r="A132" s="246">
        <f>D.SISWA!A132</f>
        <v>0</v>
      </c>
      <c r="B132" s="214">
        <f>D.SISWA!B132</f>
        <v>0</v>
      </c>
      <c r="C132" s="214">
        <f>D.SISWA!C132</f>
        <v>0</v>
      </c>
      <c r="D132" s="214">
        <f>D.SISWA!D132</f>
        <v>0</v>
      </c>
    </row>
    <row r="133" spans="1:4" x14ac:dyDescent="0.35">
      <c r="A133" s="246">
        <f>D.SISWA!A133</f>
        <v>0</v>
      </c>
      <c r="B133" s="214">
        <f>D.SISWA!B133</f>
        <v>0</v>
      </c>
      <c r="C133" s="214">
        <f>D.SISWA!C133</f>
        <v>0</v>
      </c>
      <c r="D133" s="214">
        <f>D.SISWA!D133</f>
        <v>0</v>
      </c>
    </row>
    <row r="134" spans="1:4" x14ac:dyDescent="0.35">
      <c r="A134" s="246">
        <f>D.SISWA!A134</f>
        <v>0</v>
      </c>
      <c r="B134" s="214">
        <f>D.SISWA!B134</f>
        <v>0</v>
      </c>
      <c r="C134" s="214">
        <f>D.SISWA!C134</f>
        <v>0</v>
      </c>
      <c r="D134" s="214">
        <f>D.SISWA!D134</f>
        <v>0</v>
      </c>
    </row>
    <row r="135" spans="1:4" x14ac:dyDescent="0.35">
      <c r="A135" s="246">
        <f>D.SISWA!A135</f>
        <v>0</v>
      </c>
      <c r="B135" s="214">
        <f>D.SISWA!B135</f>
        <v>0</v>
      </c>
      <c r="C135" s="214">
        <f>D.SISWA!C135</f>
        <v>0</v>
      </c>
      <c r="D135" s="214">
        <f>D.SISWA!D135</f>
        <v>0</v>
      </c>
    </row>
    <row r="136" spans="1:4" x14ac:dyDescent="0.35">
      <c r="A136" s="246">
        <f>D.SISWA!A136</f>
        <v>0</v>
      </c>
      <c r="B136" s="214">
        <f>D.SISWA!B136</f>
        <v>0</v>
      </c>
      <c r="C136" s="214">
        <f>D.SISWA!C136</f>
        <v>0</v>
      </c>
      <c r="D136" s="214">
        <f>D.SISWA!D136</f>
        <v>0</v>
      </c>
    </row>
    <row r="137" spans="1:4" x14ac:dyDescent="0.35">
      <c r="A137" s="246">
        <f>D.SISWA!A137</f>
        <v>0</v>
      </c>
      <c r="B137" s="214">
        <f>D.SISWA!B137</f>
        <v>0</v>
      </c>
      <c r="C137" s="214">
        <f>D.SISWA!C137</f>
        <v>0</v>
      </c>
      <c r="D137" s="214">
        <f>D.SISWA!D137</f>
        <v>0</v>
      </c>
    </row>
    <row r="138" spans="1:4" x14ac:dyDescent="0.35">
      <c r="A138" s="246">
        <f>D.SISWA!A138</f>
        <v>0</v>
      </c>
      <c r="B138" s="214">
        <f>D.SISWA!B138</f>
        <v>0</v>
      </c>
      <c r="C138" s="214">
        <f>D.SISWA!C138</f>
        <v>0</v>
      </c>
      <c r="D138" s="214">
        <f>D.SISWA!D138</f>
        <v>0</v>
      </c>
    </row>
    <row r="139" spans="1:4" x14ac:dyDescent="0.35">
      <c r="A139" s="246">
        <f>D.SISWA!A139</f>
        <v>0</v>
      </c>
      <c r="B139" s="214">
        <f>D.SISWA!B139</f>
        <v>0</v>
      </c>
      <c r="C139" s="214">
        <f>D.SISWA!C139</f>
        <v>0</v>
      </c>
      <c r="D139" s="214">
        <f>D.SISWA!D139</f>
        <v>0</v>
      </c>
    </row>
    <row r="140" spans="1:4" x14ac:dyDescent="0.35">
      <c r="A140" s="246">
        <f>D.SISWA!A140</f>
        <v>0</v>
      </c>
      <c r="B140" s="214">
        <f>D.SISWA!B140</f>
        <v>0</v>
      </c>
      <c r="C140" s="214">
        <f>D.SISWA!C140</f>
        <v>0</v>
      </c>
      <c r="D140" s="214">
        <f>D.SISWA!D140</f>
        <v>0</v>
      </c>
    </row>
    <row r="141" spans="1:4" x14ac:dyDescent="0.35">
      <c r="A141" s="246">
        <f>D.SISWA!A141</f>
        <v>0</v>
      </c>
      <c r="B141" s="214">
        <f>D.SISWA!B141</f>
        <v>0</v>
      </c>
      <c r="C141" s="214">
        <f>D.SISWA!C141</f>
        <v>0</v>
      </c>
      <c r="D141" s="214">
        <f>D.SISWA!D141</f>
        <v>0</v>
      </c>
    </row>
    <row r="142" spans="1:4" x14ac:dyDescent="0.35">
      <c r="A142" s="246">
        <f>D.SISWA!A142</f>
        <v>0</v>
      </c>
      <c r="B142" s="214">
        <f>D.SISWA!B142</f>
        <v>0</v>
      </c>
      <c r="C142" s="214">
        <f>D.SISWA!C142</f>
        <v>0</v>
      </c>
      <c r="D142" s="214">
        <f>D.SISWA!D142</f>
        <v>0</v>
      </c>
    </row>
    <row r="143" spans="1:4" x14ac:dyDescent="0.35">
      <c r="A143" s="246">
        <f>D.SISWA!A143</f>
        <v>0</v>
      </c>
      <c r="B143" s="214">
        <f>D.SISWA!B143</f>
        <v>0</v>
      </c>
      <c r="C143" s="214">
        <f>D.SISWA!C143</f>
        <v>0</v>
      </c>
      <c r="D143" s="214">
        <f>D.SISWA!D143</f>
        <v>0</v>
      </c>
    </row>
    <row r="144" spans="1:4" x14ac:dyDescent="0.35">
      <c r="A144" s="246">
        <f>D.SISWA!A144</f>
        <v>0</v>
      </c>
      <c r="B144" s="214">
        <f>D.SISWA!B144</f>
        <v>0</v>
      </c>
      <c r="C144" s="214">
        <f>D.SISWA!C144</f>
        <v>0</v>
      </c>
      <c r="D144" s="214">
        <f>D.SISWA!D144</f>
        <v>0</v>
      </c>
    </row>
    <row r="145" spans="1:4" x14ac:dyDescent="0.35">
      <c r="A145" s="246">
        <f>D.SISWA!A145</f>
        <v>0</v>
      </c>
      <c r="B145" s="214">
        <f>D.SISWA!B145</f>
        <v>0</v>
      </c>
      <c r="C145" s="214">
        <f>D.SISWA!C145</f>
        <v>0</v>
      </c>
      <c r="D145" s="214">
        <f>D.SISWA!D145</f>
        <v>0</v>
      </c>
    </row>
    <row r="146" spans="1:4" x14ac:dyDescent="0.35">
      <c r="A146" s="246">
        <f>D.SISWA!A146</f>
        <v>0</v>
      </c>
      <c r="B146" s="214">
        <f>D.SISWA!B146</f>
        <v>0</v>
      </c>
      <c r="C146" s="214">
        <f>D.SISWA!C146</f>
        <v>0</v>
      </c>
      <c r="D146" s="214">
        <f>D.SISWA!D146</f>
        <v>0</v>
      </c>
    </row>
    <row r="147" spans="1:4" x14ac:dyDescent="0.35">
      <c r="A147" s="246">
        <f>D.SISWA!A147</f>
        <v>0</v>
      </c>
      <c r="B147" s="214">
        <f>D.SISWA!B147</f>
        <v>0</v>
      </c>
      <c r="C147" s="214">
        <f>D.SISWA!C147</f>
        <v>0</v>
      </c>
      <c r="D147" s="214">
        <f>D.SISWA!D147</f>
        <v>0</v>
      </c>
    </row>
    <row r="148" spans="1:4" x14ac:dyDescent="0.35">
      <c r="A148" s="246">
        <f>D.SISWA!A148</f>
        <v>0</v>
      </c>
      <c r="B148" s="214">
        <f>D.SISWA!B148</f>
        <v>0</v>
      </c>
      <c r="C148" s="214">
        <f>D.SISWA!C148</f>
        <v>0</v>
      </c>
      <c r="D148" s="214">
        <f>D.SISWA!D148</f>
        <v>0</v>
      </c>
    </row>
    <row r="149" spans="1:4" x14ac:dyDescent="0.35">
      <c r="A149" s="246">
        <f>D.SISWA!A149</f>
        <v>0</v>
      </c>
      <c r="B149" s="214">
        <f>D.SISWA!B149</f>
        <v>0</v>
      </c>
      <c r="C149" s="214">
        <f>D.SISWA!C149</f>
        <v>0</v>
      </c>
      <c r="D149" s="214">
        <f>D.SISWA!D149</f>
        <v>0</v>
      </c>
    </row>
    <row r="150" spans="1:4" x14ac:dyDescent="0.35">
      <c r="A150" s="246">
        <f>D.SISWA!A150</f>
        <v>0</v>
      </c>
      <c r="B150" s="214">
        <f>D.SISWA!B150</f>
        <v>0</v>
      </c>
      <c r="C150" s="214">
        <f>D.SISWA!C150</f>
        <v>0</v>
      </c>
      <c r="D150" s="214">
        <f>D.SISWA!D150</f>
        <v>0</v>
      </c>
    </row>
    <row r="151" spans="1:4" x14ac:dyDescent="0.35">
      <c r="A151" s="246">
        <f>D.SISWA!A151</f>
        <v>0</v>
      </c>
      <c r="B151" s="214">
        <f>D.SISWA!B151</f>
        <v>0</v>
      </c>
      <c r="C151" s="214">
        <f>D.SISWA!C151</f>
        <v>0</v>
      </c>
      <c r="D151" s="214">
        <f>D.SISWA!D151</f>
        <v>0</v>
      </c>
    </row>
    <row r="152" spans="1:4" x14ac:dyDescent="0.35">
      <c r="A152" s="246">
        <f>D.SISWA!A152</f>
        <v>0</v>
      </c>
      <c r="B152" s="214">
        <f>D.SISWA!B152</f>
        <v>0</v>
      </c>
      <c r="C152" s="214">
        <f>D.SISWA!C152</f>
        <v>0</v>
      </c>
      <c r="D152" s="214">
        <f>D.SISWA!D152</f>
        <v>0</v>
      </c>
    </row>
    <row r="153" spans="1:4" x14ac:dyDescent="0.35">
      <c r="A153" s="246">
        <f>D.SISWA!A153</f>
        <v>0</v>
      </c>
      <c r="B153" s="214">
        <f>D.SISWA!B153</f>
        <v>0</v>
      </c>
      <c r="C153" s="214">
        <f>D.SISWA!C153</f>
        <v>0</v>
      </c>
      <c r="D153" s="214">
        <f>D.SISWA!D153</f>
        <v>0</v>
      </c>
    </row>
    <row r="154" spans="1:4" x14ac:dyDescent="0.35">
      <c r="A154" s="246">
        <f>D.SISWA!A154</f>
        <v>0</v>
      </c>
      <c r="B154" s="214">
        <f>D.SISWA!B154</f>
        <v>0</v>
      </c>
      <c r="C154" s="214">
        <f>D.SISWA!C154</f>
        <v>0</v>
      </c>
      <c r="D154" s="214">
        <f>D.SISWA!D154</f>
        <v>0</v>
      </c>
    </row>
    <row r="155" spans="1:4" x14ac:dyDescent="0.35">
      <c r="A155" s="246">
        <f>D.SISWA!A155</f>
        <v>0</v>
      </c>
      <c r="B155" s="214">
        <f>D.SISWA!B155</f>
        <v>0</v>
      </c>
      <c r="C155" s="214">
        <f>D.SISWA!C155</f>
        <v>0</v>
      </c>
      <c r="D155" s="214">
        <f>D.SISWA!D155</f>
        <v>0</v>
      </c>
    </row>
    <row r="156" spans="1:4" x14ac:dyDescent="0.35">
      <c r="A156" s="246">
        <f>D.SISWA!A156</f>
        <v>0</v>
      </c>
      <c r="B156" s="214">
        <f>D.SISWA!B156</f>
        <v>0</v>
      </c>
      <c r="C156" s="214">
        <f>D.SISWA!C156</f>
        <v>0</v>
      </c>
      <c r="D156" s="214">
        <f>D.SISWA!D156</f>
        <v>0</v>
      </c>
    </row>
    <row r="157" spans="1:4" x14ac:dyDescent="0.35">
      <c r="A157" s="246">
        <f>D.SISWA!A157</f>
        <v>0</v>
      </c>
      <c r="B157" s="214">
        <f>D.SISWA!B157</f>
        <v>0</v>
      </c>
      <c r="C157" s="214">
        <f>D.SISWA!C157</f>
        <v>0</v>
      </c>
      <c r="D157" s="214">
        <f>D.SISWA!D157</f>
        <v>0</v>
      </c>
    </row>
    <row r="158" spans="1:4" x14ac:dyDescent="0.35">
      <c r="A158" s="246">
        <f>D.SISWA!A158</f>
        <v>0</v>
      </c>
      <c r="B158" s="214">
        <f>D.SISWA!B158</f>
        <v>0</v>
      </c>
      <c r="C158" s="214">
        <f>D.SISWA!C158</f>
        <v>0</v>
      </c>
      <c r="D158" s="214">
        <f>D.SISWA!D158</f>
        <v>0</v>
      </c>
    </row>
    <row r="159" spans="1:4" x14ac:dyDescent="0.35">
      <c r="A159" s="246">
        <f>D.SISWA!A159</f>
        <v>0</v>
      </c>
      <c r="B159" s="214">
        <f>D.SISWA!B159</f>
        <v>0</v>
      </c>
      <c r="C159" s="214">
        <f>D.SISWA!C159</f>
        <v>0</v>
      </c>
      <c r="D159" s="214">
        <f>D.SISWA!D159</f>
        <v>0</v>
      </c>
    </row>
    <row r="160" spans="1:4" x14ac:dyDescent="0.35">
      <c r="A160" s="246">
        <f>D.SISWA!A160</f>
        <v>0</v>
      </c>
      <c r="B160" s="214">
        <f>D.SISWA!B160</f>
        <v>0</v>
      </c>
      <c r="C160" s="214">
        <f>D.SISWA!C160</f>
        <v>0</v>
      </c>
      <c r="D160" s="214">
        <f>D.SISWA!D160</f>
        <v>0</v>
      </c>
    </row>
    <row r="161" spans="1:4" x14ac:dyDescent="0.35">
      <c r="A161" s="246">
        <f>D.SISWA!A161</f>
        <v>0</v>
      </c>
      <c r="B161" s="214">
        <f>D.SISWA!B161</f>
        <v>0</v>
      </c>
      <c r="C161" s="214">
        <f>D.SISWA!C161</f>
        <v>0</v>
      </c>
      <c r="D161" s="214">
        <f>D.SISWA!D161</f>
        <v>0</v>
      </c>
    </row>
    <row r="162" spans="1:4" x14ac:dyDescent="0.35">
      <c r="A162" s="246">
        <f>D.SISWA!A162</f>
        <v>0</v>
      </c>
      <c r="B162" s="214">
        <f>D.SISWA!B162</f>
        <v>0</v>
      </c>
      <c r="C162" s="214">
        <f>D.SISWA!C162</f>
        <v>0</v>
      </c>
      <c r="D162" s="214">
        <f>D.SISWA!D162</f>
        <v>0</v>
      </c>
    </row>
    <row r="163" spans="1:4" x14ac:dyDescent="0.35">
      <c r="A163" s="246">
        <f>D.SISWA!A163</f>
        <v>0</v>
      </c>
      <c r="B163" s="214">
        <f>D.SISWA!B163</f>
        <v>0</v>
      </c>
      <c r="C163" s="214">
        <f>D.SISWA!C163</f>
        <v>0</v>
      </c>
      <c r="D163" s="214">
        <f>D.SISWA!D163</f>
        <v>0</v>
      </c>
    </row>
    <row r="164" spans="1:4" x14ac:dyDescent="0.35">
      <c r="A164" s="246">
        <f>D.SISWA!A164</f>
        <v>0</v>
      </c>
      <c r="B164" s="214">
        <f>D.SISWA!B164</f>
        <v>0</v>
      </c>
      <c r="C164" s="214">
        <f>D.SISWA!C164</f>
        <v>0</v>
      </c>
      <c r="D164" s="214">
        <f>D.SISWA!D164</f>
        <v>0</v>
      </c>
    </row>
    <row r="165" spans="1:4" x14ac:dyDescent="0.35">
      <c r="A165" s="246">
        <f>D.SISWA!A165</f>
        <v>0</v>
      </c>
      <c r="B165" s="214">
        <f>D.SISWA!B165</f>
        <v>0</v>
      </c>
      <c r="C165" s="214">
        <f>D.SISWA!C165</f>
        <v>0</v>
      </c>
      <c r="D165" s="214">
        <f>D.SISWA!D165</f>
        <v>0</v>
      </c>
    </row>
    <row r="166" spans="1:4" x14ac:dyDescent="0.35">
      <c r="A166" s="246">
        <f>D.SISWA!A166</f>
        <v>0</v>
      </c>
      <c r="B166" s="214">
        <f>D.SISWA!B166</f>
        <v>0</v>
      </c>
      <c r="C166" s="214">
        <f>D.SISWA!C166</f>
        <v>0</v>
      </c>
      <c r="D166" s="214">
        <f>D.SISWA!D166</f>
        <v>0</v>
      </c>
    </row>
  </sheetData>
  <mergeCells count="9">
    <mergeCell ref="A1:A4"/>
    <mergeCell ref="B1:B4"/>
    <mergeCell ref="C1:C4"/>
    <mergeCell ref="D1:D4"/>
    <mergeCell ref="E1:N3"/>
    <mergeCell ref="E4:E5"/>
    <mergeCell ref="F4:F5"/>
    <mergeCell ref="J4:L4"/>
    <mergeCell ref="G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</vt:lpstr>
      <vt:lpstr>D.SISWA</vt:lpstr>
      <vt:lpstr>XI</vt:lpstr>
      <vt:lpstr>XII</vt:lpstr>
      <vt:lpstr>PERBAIKAN</vt:lpstr>
      <vt:lpstr>PENILAIAN S.1</vt:lpstr>
      <vt:lpstr>PENILAIAN S.3</vt:lpstr>
      <vt:lpstr>PENILAIAN S.5</vt:lpstr>
      <vt:lpstr>MAPEL</vt:lpstr>
      <vt:lpstr>LEGER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 Bangsa</dc:creator>
  <cp:lastModifiedBy>Axioo</cp:lastModifiedBy>
  <cp:lastPrinted>2025-07-19T08:10:43Z</cp:lastPrinted>
  <dcterms:created xsi:type="dcterms:W3CDTF">2021-12-22T02:22:47Z</dcterms:created>
  <dcterms:modified xsi:type="dcterms:W3CDTF">2025-11-01T17:27:56Z</dcterms:modified>
</cp:coreProperties>
</file>